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10" yWindow="870" windowWidth="13080" windowHeight="5670"/>
  </bookViews>
  <sheets>
    <sheet name="Follow up" sheetId="9" r:id="rId1"/>
    <sheet name="Status" sheetId="10" r:id="rId2"/>
  </sheets>
  <functionGroups builtInGroupCount="17"/>
  <definedNames>
    <definedName name="_xlnm._FilterDatabase" localSheetId="0" hidden="1">'Follow up'!$A$10:$AI$10</definedName>
  </definedNames>
  <calcPr calcId="145621"/>
</workbook>
</file>

<file path=xl/calcChain.xml><?xml version="1.0" encoding="utf-8"?>
<calcChain xmlns="http://schemas.openxmlformats.org/spreadsheetml/2006/main">
  <c r="B2" i="10" l="1"/>
  <c r="AD147" i="9"/>
  <c r="G151" i="9"/>
  <c r="G149" i="9"/>
  <c r="F145" i="9"/>
  <c r="G147" i="9"/>
  <c r="G145" i="9"/>
  <c r="H149" i="9"/>
  <c r="Z147" i="9"/>
  <c r="C3" i="10" l="1"/>
  <c r="AH151" i="9"/>
  <c r="AH145" i="9"/>
  <c r="AG151" i="9"/>
  <c r="AG147" i="9"/>
  <c r="AE149" i="9"/>
  <c r="AG145" i="9"/>
  <c r="AE145" i="9"/>
  <c r="AE147" i="9"/>
  <c r="AD149" i="9"/>
  <c r="AC151" i="9"/>
  <c r="AG149" i="9"/>
  <c r="AH147" i="9"/>
  <c r="AC145" i="9"/>
  <c r="AH149" i="9"/>
  <c r="AC147" i="9"/>
  <c r="AF149" i="9"/>
  <c r="AD145" i="9"/>
  <c r="AF151" i="9"/>
  <c r="AC149" i="9"/>
  <c r="AF147" i="9"/>
  <c r="AE151" i="9"/>
  <c r="AF145" i="9"/>
  <c r="AD151" i="9"/>
  <c r="J151" i="9"/>
  <c r="L145" i="9"/>
  <c r="X151" i="9"/>
  <c r="Y145" i="9"/>
  <c r="AA151" i="9"/>
  <c r="Z151" i="9"/>
  <c r="W151" i="9"/>
  <c r="H151" i="9"/>
  <c r="P145" i="9"/>
  <c r="Z145" i="9"/>
  <c r="I145" i="9"/>
  <c r="K145" i="9"/>
  <c r="H145" i="9"/>
  <c r="L151" i="9"/>
  <c r="T149" i="9"/>
  <c r="AB151" i="9"/>
  <c r="U145" i="9"/>
  <c r="N149" i="9"/>
  <c r="F149" i="9"/>
  <c r="J145" i="9"/>
  <c r="V145" i="9"/>
  <c r="Z149" i="9"/>
  <c r="J149" i="9"/>
  <c r="O151" i="9"/>
  <c r="T147" i="9"/>
  <c r="AA145" i="9"/>
  <c r="P151" i="9"/>
  <c r="Q151" i="9"/>
  <c r="V147" i="9"/>
  <c r="X147" i="9"/>
  <c r="W149" i="9"/>
  <c r="M149" i="9"/>
  <c r="R151" i="9"/>
  <c r="R145" i="9"/>
  <c r="V151" i="9"/>
  <c r="K147" i="9"/>
  <c r="AB147" i="9"/>
  <c r="U147" i="9"/>
  <c r="N145" i="9"/>
  <c r="W147" i="9"/>
  <c r="X149" i="9"/>
  <c r="Q147" i="9"/>
  <c r="P147" i="9"/>
  <c r="I151" i="9"/>
  <c r="AA147" i="9"/>
  <c r="Y149" i="9"/>
  <c r="AB145" i="9"/>
  <c r="N151" i="9"/>
  <c r="K149" i="9"/>
  <c r="O145" i="9"/>
  <c r="O149" i="9"/>
  <c r="T151" i="9"/>
  <c r="Y151" i="9"/>
  <c r="Q145" i="9"/>
  <c r="R149" i="9"/>
  <c r="S145" i="9"/>
  <c r="R147" i="9"/>
  <c r="O147" i="9"/>
  <c r="T145" i="9"/>
  <c r="M145" i="9"/>
  <c r="H147" i="9"/>
  <c r="S147" i="9"/>
  <c r="V149" i="9"/>
  <c r="AA149" i="9"/>
  <c r="S149" i="9"/>
  <c r="X145" i="9"/>
  <c r="K151" i="9"/>
  <c r="Y147" i="9"/>
  <c r="AB149" i="9"/>
  <c r="U149" i="9"/>
  <c r="N147" i="9"/>
  <c r="F147" i="9"/>
  <c r="L149" i="9"/>
  <c r="Q149" i="9"/>
  <c r="S151" i="9"/>
  <c r="I147" i="9"/>
  <c r="I149" i="9"/>
  <c r="P149" i="9"/>
  <c r="L147" i="9"/>
  <c r="W145" i="9"/>
  <c r="M147" i="9"/>
  <c r="M151" i="9"/>
  <c r="J147" i="9"/>
  <c r="U151" i="9"/>
  <c r="F151" i="9"/>
  <c r="D5" i="10" l="1"/>
  <c r="F6" i="10"/>
  <c r="C4" i="10"/>
  <c r="E5" i="10"/>
  <c r="C6" i="10"/>
  <c r="E4" i="10"/>
  <c r="F5" i="10"/>
  <c r="F3" i="10"/>
  <c r="E6" i="10"/>
  <c r="D3" i="10"/>
  <c r="F4" i="10"/>
  <c r="E3" i="10"/>
  <c r="D6" i="10"/>
  <c r="C5" i="10"/>
  <c r="D4" i="10"/>
</calcChain>
</file>

<file path=xl/sharedStrings.xml><?xml version="1.0" encoding="utf-8"?>
<sst xmlns="http://schemas.openxmlformats.org/spreadsheetml/2006/main" count="216" uniqueCount="47">
  <si>
    <t>Function</t>
  </si>
  <si>
    <t>X</t>
  </si>
  <si>
    <t>Status</t>
  </si>
  <si>
    <t>N/A</t>
  </si>
  <si>
    <t>Info</t>
  </si>
  <si>
    <t>Features</t>
  </si>
  <si>
    <t>Documents</t>
  </si>
  <si>
    <t>Test</t>
  </si>
  <si>
    <t>Diagnos</t>
  </si>
  <si>
    <t>BSW</t>
  </si>
  <si>
    <t>Cal</t>
  </si>
  <si>
    <t>Combu</t>
  </si>
  <si>
    <t>Spec</t>
  </si>
  <si>
    <t>Torque</t>
  </si>
  <si>
    <t xml:space="preserve">Red: No info </t>
  </si>
  <si>
    <t>Yellow: Plan excist</t>
  </si>
  <si>
    <t>Green: SWU 100 % (incl test and Cal)</t>
  </si>
  <si>
    <t>Total nr of items</t>
  </si>
  <si>
    <t>Red</t>
  </si>
  <si>
    <t>Yellow</t>
  </si>
  <si>
    <t xml:space="preserve">Blue </t>
  </si>
  <si>
    <t>Green</t>
  </si>
  <si>
    <t>C10 Conti D28</t>
  </si>
  <si>
    <t>A15 Conti D23</t>
  </si>
  <si>
    <t xml:space="preserve">No info </t>
  </si>
  <si>
    <t>SWU 100 %</t>
  </si>
  <si>
    <t>Blue: Spec Available</t>
  </si>
  <si>
    <t>Spec Available</t>
  </si>
  <si>
    <t>Plan exists</t>
  </si>
  <si>
    <t>EW10 Conti DM5L</t>
  </si>
  <si>
    <t>Vehicle Related Components</t>
  </si>
  <si>
    <t xml:space="preserve"> </t>
  </si>
  <si>
    <t>Diagnostic</t>
  </si>
  <si>
    <t xml:space="preserve">Torque </t>
  </si>
  <si>
    <t xml:space="preserve">Ready to </t>
  </si>
  <si>
    <t>Blue</t>
  </si>
  <si>
    <t>Initial Cal</t>
  </si>
  <si>
    <t>50% Cal</t>
  </si>
  <si>
    <t>65% Cal</t>
  </si>
  <si>
    <t>80% Cal</t>
  </si>
  <si>
    <t>99% Cal</t>
  </si>
  <si>
    <t>100% Cal</t>
  </si>
  <si>
    <t>XXX</t>
  </si>
  <si>
    <t>Project name</t>
  </si>
  <si>
    <t>No info</t>
  </si>
  <si>
    <t>SWU 100%</t>
  </si>
  <si>
    <t xml:space="preserve">Engine-related Components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</si>
</sst>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134"/>
    </font>
    <font>
      <sz val="10"/>
      <color rgb="FF0070C0"/>
      <name val="Arial Unicode MS"/>
      <family val="2"/>
      <charset val="134"/>
    </font>
    <font>
      <sz val="11"/>
      <color rgb="FFFF0000"/>
      <name val="Calibri"/>
      <family val="2"/>
      <charset val="134"/>
      <scheme val="minor"/>
    </font>
    <font>
      <b/>
      <strike/>
      <sz val="11"/>
      <color theme="1"/>
      <name val="Calibri"/>
      <family val="2"/>
      <charset val="134"/>
      <scheme val="minor"/>
    </font>
    <font>
      <strike/>
      <sz val="11"/>
      <color theme="1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2"/>
      <name val="宋体"/>
      <family val="3"/>
      <charset val="134"/>
    </font>
    <font>
      <sz val="12"/>
      <color theme="1"/>
      <name val="Calibri"/>
      <family val="2"/>
      <charset val="134"/>
      <scheme val="minor"/>
    </font>
    <font>
      <sz val="14"/>
      <color theme="1"/>
      <name val="Calibri"/>
      <family val="2"/>
      <charset val="134"/>
      <scheme val="minor"/>
    </font>
    <font>
      <sz val="16"/>
      <color theme="1"/>
      <name val="Calibri"/>
      <family val="2"/>
      <charset val="134"/>
      <scheme val="minor"/>
    </font>
    <font>
      <sz val="10"/>
      <color theme="1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rgb="FF0000FF"/>
      <name val="Calibri"/>
      <family val="2"/>
      <charset val="134"/>
      <scheme val="minor"/>
    </font>
    <font>
      <sz val="16"/>
      <color theme="1"/>
      <name val="Arial Unicode MS"/>
      <family val="2"/>
      <charset val="134"/>
    </font>
    <font>
      <sz val="10"/>
      <name val="Arial"/>
      <family val="2"/>
    </font>
    <font>
      <sz val="10"/>
      <name val="MS Sans Serif"/>
      <family val="2"/>
    </font>
    <font>
      <sz val="10"/>
      <color rgb="FFFF0000"/>
      <name val="Arial Unicode MS"/>
      <family val="2"/>
      <charset val="134"/>
    </font>
    <font>
      <sz val="11"/>
      <color theme="1"/>
      <name val="Calibri"/>
      <family val="2"/>
      <charset val="134"/>
      <scheme val="minor"/>
    </font>
    <font>
      <sz val="10"/>
      <color rgb="FFFF0000"/>
      <name val="Arial Unicode MS"/>
      <family val="2"/>
    </font>
    <font>
      <strike/>
      <sz val="10"/>
      <color rgb="FF0070C0"/>
      <name val="Arial Unicode MS"/>
      <family val="2"/>
      <charset val="134"/>
    </font>
    <font>
      <sz val="11"/>
      <color rgb="FF0070C0"/>
      <name val="Calibri"/>
      <family val="2"/>
      <charset val="134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9" fillId="0" borderId="0" applyBorder="0"/>
    <xf numFmtId="0" fontId="2" fillId="0" borderId="0"/>
    <xf numFmtId="0" fontId="20" fillId="0" borderId="0">
      <alignment vertical="center"/>
    </xf>
    <xf numFmtId="0" fontId="1" fillId="0" borderId="0"/>
    <xf numFmtId="0" fontId="1" fillId="0" borderId="0"/>
  </cellStyleXfs>
  <cellXfs count="21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Border="1">
      <alignment vertical="center"/>
    </xf>
    <xf numFmtId="0" fontId="4" fillId="2" borderId="1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horizontal="left" vertical="center"/>
    </xf>
    <xf numFmtId="0" fontId="5" fillId="0" borderId="0" xfId="0" applyFont="1" applyBorder="1" applyAlignment="1">
      <alignment horizontal="left" vertical="center" wrapText="1"/>
    </xf>
    <xf numFmtId="0" fontId="4" fillId="4" borderId="5" xfId="0" applyFont="1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Border="1" applyAlignment="1"/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7" fillId="0" borderId="27" xfId="0" applyFont="1" applyFill="1" applyBorder="1" applyAlignment="1" applyProtection="1">
      <protection locked="0"/>
    </xf>
    <xf numFmtId="0" fontId="17" fillId="0" borderId="28" xfId="0" applyFont="1" applyFill="1" applyBorder="1" applyAlignment="1" applyProtection="1">
      <protection locked="0"/>
    </xf>
    <xf numFmtId="0" fontId="17" fillId="0" borderId="28" xfId="0" applyFont="1" applyFill="1" applyBorder="1" applyAlignment="1" applyProtection="1">
      <alignment horizontal="center"/>
      <protection locked="0"/>
    </xf>
    <xf numFmtId="0" fontId="18" fillId="0" borderId="0" xfId="0" applyFont="1" applyAlignment="1"/>
    <xf numFmtId="0" fontId="17" fillId="0" borderId="29" xfId="0" applyFont="1" applyFill="1" applyBorder="1" applyAlignment="1" applyProtection="1">
      <protection locked="0"/>
    </xf>
    <xf numFmtId="0" fontId="17" fillId="0" borderId="0" xfId="0" applyFont="1" applyFill="1" applyBorder="1" applyAlignment="1" applyProtection="1">
      <protection locked="0"/>
    </xf>
    <xf numFmtId="0" fontId="17" fillId="0" borderId="0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center" vertical="center"/>
    </xf>
    <xf numFmtId="0" fontId="4" fillId="4" borderId="31" xfId="0" applyFont="1" applyFill="1" applyBorder="1">
      <alignment vertical="center"/>
    </xf>
    <xf numFmtId="0" fontId="4" fillId="4" borderId="32" xfId="0" applyFont="1" applyFill="1" applyBorder="1">
      <alignment vertical="center"/>
    </xf>
    <xf numFmtId="0" fontId="4" fillId="4" borderId="33" xfId="0" applyFont="1" applyFill="1" applyBorder="1">
      <alignment vertical="center"/>
    </xf>
    <xf numFmtId="0" fontId="4" fillId="2" borderId="9" xfId="0" applyFont="1" applyFill="1" applyBorder="1" applyAlignment="1">
      <alignment vertical="center"/>
    </xf>
    <xf numFmtId="0" fontId="4" fillId="2" borderId="9" xfId="0" applyFont="1" applyFill="1" applyBorder="1" applyAlignment="1">
      <alignment vertical="center" wrapText="1"/>
    </xf>
    <xf numFmtId="0" fontId="4" fillId="2" borderId="7" xfId="0" applyFont="1" applyFill="1" applyBorder="1" applyAlignment="1">
      <alignment vertical="center" wrapText="1"/>
    </xf>
    <xf numFmtId="0" fontId="0" fillId="8" borderId="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 vertical="top" wrapText="1"/>
    </xf>
    <xf numFmtId="0" fontId="0" fillId="0" borderId="16" xfId="0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8" fillId="0" borderId="0" xfId="0" applyFont="1" applyBorder="1" applyAlignment="1"/>
    <xf numFmtId="0" fontId="18" fillId="0" borderId="0" xfId="0" applyFont="1" applyFill="1" applyBorder="1" applyAlignment="1"/>
    <xf numFmtId="0" fontId="0" fillId="0" borderId="29" xfId="0" applyBorder="1" applyAlignment="1">
      <alignment horizontal="center" vertical="center"/>
    </xf>
    <xf numFmtId="0" fontId="3" fillId="3" borderId="34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top" wrapText="1"/>
    </xf>
    <xf numFmtId="0" fontId="0" fillId="8" borderId="1" xfId="0" applyFill="1" applyBorder="1" applyAlignment="1">
      <alignment horizontal="center" vertical="top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4" fillId="4" borderId="25" xfId="0" applyFont="1" applyFill="1" applyBorder="1">
      <alignment vertical="center"/>
    </xf>
    <xf numFmtId="0" fontId="0" fillId="5" borderId="36" xfId="0" applyFill="1" applyBorder="1">
      <alignment vertical="center"/>
    </xf>
    <xf numFmtId="0" fontId="0" fillId="10" borderId="36" xfId="0" applyFill="1" applyBorder="1">
      <alignment vertical="center"/>
    </xf>
    <xf numFmtId="0" fontId="0" fillId="9" borderId="37" xfId="0" applyFill="1" applyBorder="1">
      <alignment vertical="center"/>
    </xf>
    <xf numFmtId="0" fontId="0" fillId="8" borderId="38" xfId="0" applyFill="1" applyBorder="1">
      <alignment vertical="center"/>
    </xf>
    <xf numFmtId="0" fontId="0" fillId="0" borderId="3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 wrapText="1"/>
    </xf>
    <xf numFmtId="0" fontId="0" fillId="0" borderId="40" xfId="0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center" vertical="center"/>
    </xf>
    <xf numFmtId="0" fontId="4" fillId="4" borderId="42" xfId="0" applyFont="1" applyFill="1" applyBorder="1">
      <alignment vertical="center"/>
    </xf>
    <xf numFmtId="0" fontId="4" fillId="4" borderId="42" xfId="0" applyFont="1" applyFill="1" applyBorder="1" applyAlignment="1">
      <alignment horizontal="left" vertical="top" wrapText="1"/>
    </xf>
    <xf numFmtId="0" fontId="4" fillId="4" borderId="26" xfId="0" applyFont="1" applyFill="1" applyBorder="1" applyAlignment="1">
      <alignment horizontal="left" vertical="top" wrapText="1"/>
    </xf>
    <xf numFmtId="0" fontId="4" fillId="2" borderId="8" xfId="0" applyFont="1" applyFill="1" applyBorder="1" applyAlignment="1">
      <alignment vertical="center" wrapText="1"/>
    </xf>
    <xf numFmtId="0" fontId="4" fillId="2" borderId="11" xfId="0" applyFont="1" applyFill="1" applyBorder="1" applyAlignment="1">
      <alignment vertical="center" wrapText="1"/>
    </xf>
    <xf numFmtId="0" fontId="4" fillId="2" borderId="11" xfId="0" applyFont="1" applyFill="1" applyBorder="1" applyAlignment="1">
      <alignment horizontal="left" vertical="center" wrapText="1"/>
    </xf>
    <xf numFmtId="0" fontId="4" fillId="2" borderId="1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43" xfId="0" applyFont="1" applyFill="1" applyBorder="1" applyAlignment="1">
      <alignment vertical="center"/>
    </xf>
    <xf numFmtId="0" fontId="4" fillId="2" borderId="43" xfId="0" applyFont="1" applyFill="1" applyBorder="1" applyAlignment="1">
      <alignment vertical="center" wrapText="1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7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top" wrapText="1"/>
    </xf>
    <xf numFmtId="0" fontId="0" fillId="0" borderId="14" xfId="0" applyFill="1" applyBorder="1" applyAlignment="1">
      <alignment horizontal="center" vertical="top" wrapText="1"/>
    </xf>
    <xf numFmtId="0" fontId="0" fillId="0" borderId="2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top" wrapText="1"/>
    </xf>
    <xf numFmtId="0" fontId="0" fillId="0" borderId="44" xfId="0" applyBorder="1" applyAlignment="1">
      <alignment horizontal="center" vertical="center"/>
    </xf>
    <xf numFmtId="0" fontId="22" fillId="2" borderId="1" xfId="0" applyFont="1" applyFill="1" applyBorder="1" applyAlignment="1">
      <alignment vertical="center" wrapText="1"/>
    </xf>
    <xf numFmtId="0" fontId="25" fillId="0" borderId="12" xfId="5" applyFont="1" applyBorder="1" applyAlignment="1">
      <alignment wrapText="1"/>
    </xf>
    <xf numFmtId="0" fontId="4" fillId="0" borderId="39" xfId="3" applyFont="1" applyFill="1" applyBorder="1" applyAlignment="1">
      <alignment vertical="center"/>
    </xf>
    <xf numFmtId="0" fontId="0" fillId="0" borderId="46" xfId="0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4" fillId="0" borderId="44" xfId="3" applyFont="1" applyFill="1" applyBorder="1" applyAlignment="1">
      <alignment vertical="center"/>
    </xf>
    <xf numFmtId="0" fontId="3" fillId="3" borderId="47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2" borderId="10" xfId="0" applyFont="1" applyFill="1" applyBorder="1" applyAlignment="1">
      <alignment vertical="center" wrapText="1"/>
    </xf>
    <xf numFmtId="0" fontId="22" fillId="2" borderId="12" xfId="3" applyFont="1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0" fontId="4" fillId="2" borderId="12" xfId="3" applyFont="1" applyFill="1" applyBorder="1" applyAlignment="1">
      <alignment vertical="center" wrapText="1"/>
    </xf>
    <xf numFmtId="0" fontId="19" fillId="2" borderId="12" xfId="0" applyFont="1" applyFill="1" applyBorder="1" applyAlignment="1">
      <alignment vertical="center" wrapText="1"/>
    </xf>
    <xf numFmtId="0" fontId="19" fillId="2" borderId="12" xfId="3" applyFont="1" applyFill="1" applyBorder="1" applyAlignment="1">
      <alignment vertical="center" wrapText="1"/>
    </xf>
    <xf numFmtId="0" fontId="21" fillId="2" borderId="12" xfId="0" applyFont="1" applyFill="1" applyBorder="1" applyAlignment="1">
      <alignment vertical="center" wrapText="1"/>
    </xf>
    <xf numFmtId="0" fontId="4" fillId="2" borderId="14" xfId="0" applyFont="1" applyFill="1" applyBorder="1" applyAlignment="1">
      <alignment vertical="center" wrapText="1"/>
    </xf>
    <xf numFmtId="0" fontId="3" fillId="3" borderId="23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16" fillId="3" borderId="17" xfId="0" applyFont="1" applyFill="1" applyBorder="1" applyAlignment="1">
      <alignment horizontal="center" vertical="center"/>
    </xf>
    <xf numFmtId="0" fontId="16" fillId="3" borderId="18" xfId="0" applyFont="1" applyFill="1" applyBorder="1" applyAlignment="1">
      <alignment horizontal="center" vertical="center"/>
    </xf>
    <xf numFmtId="0" fontId="16" fillId="3" borderId="25" xfId="0" applyFont="1" applyFill="1" applyBorder="1" applyAlignment="1">
      <alignment horizontal="center" vertical="center"/>
    </xf>
    <xf numFmtId="0" fontId="16" fillId="3" borderId="41" xfId="0" applyFont="1" applyFill="1" applyBorder="1" applyAlignment="1">
      <alignment horizontal="center" vertical="center"/>
    </xf>
    <xf numFmtId="0" fontId="11" fillId="7" borderId="27" xfId="0" applyFont="1" applyFill="1" applyBorder="1" applyAlignment="1">
      <alignment horizontal="center" vertical="center" textRotation="90" wrapText="1"/>
    </xf>
    <xf numFmtId="0" fontId="11" fillId="7" borderId="29" xfId="0" applyFont="1" applyFill="1" applyBorder="1" applyAlignment="1">
      <alignment horizontal="center" vertical="center" textRotation="90" wrapText="1"/>
    </xf>
    <xf numFmtId="0" fontId="10" fillId="11" borderId="8" xfId="0" applyFont="1" applyFill="1" applyBorder="1" applyAlignment="1">
      <alignment horizontal="center" vertical="center" textRotation="90"/>
    </xf>
    <xf numFmtId="0" fontId="10" fillId="11" borderId="11" xfId="0" applyFont="1" applyFill="1" applyBorder="1" applyAlignment="1">
      <alignment horizontal="center" vertical="center" textRotation="90"/>
    </xf>
    <xf numFmtId="0" fontId="10" fillId="11" borderId="39" xfId="0" applyFont="1" applyFill="1" applyBorder="1" applyAlignment="1">
      <alignment horizontal="center" vertical="center" textRotation="90"/>
    </xf>
    <xf numFmtId="0" fontId="10" fillId="11" borderId="13" xfId="0" applyFont="1" applyFill="1" applyBorder="1" applyAlignment="1">
      <alignment horizontal="center" vertical="center" textRotation="90"/>
    </xf>
    <xf numFmtId="0" fontId="0" fillId="3" borderId="17" xfId="0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22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>
      <alignment horizontal="center" vertical="center" textRotation="90" wrapText="1"/>
    </xf>
    <xf numFmtId="0" fontId="10" fillId="5" borderId="18" xfId="0" applyFont="1" applyFill="1" applyBorder="1" applyAlignment="1">
      <alignment horizontal="center" vertical="center" textRotation="90"/>
    </xf>
    <xf numFmtId="0" fontId="0" fillId="0" borderId="1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0" fillId="0" borderId="16" xfId="3" applyFill="1" applyBorder="1" applyAlignment="1">
      <alignment horizontal="center" vertical="center"/>
    </xf>
    <xf numFmtId="0" fontId="0" fillId="0" borderId="35" xfId="3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14" fillId="0" borderId="16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0" fillId="0" borderId="46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9" xfId="0" applyFill="1" applyBorder="1" applyAlignment="1">
      <alignment horizontal="center" vertical="top" wrapText="1"/>
    </xf>
    <xf numFmtId="0" fontId="0" fillId="0" borderId="10" xfId="0" applyFill="1" applyBorder="1" applyAlignment="1">
      <alignment horizontal="center" vertical="top" wrapText="1"/>
    </xf>
    <xf numFmtId="0" fontId="0" fillId="0" borderId="12" xfId="0" applyFill="1" applyBorder="1" applyAlignment="1">
      <alignment horizontal="center" vertical="top" wrapText="1"/>
    </xf>
    <xf numFmtId="0" fontId="10" fillId="5" borderId="17" xfId="0" applyFont="1" applyFill="1" applyBorder="1" applyAlignment="1">
      <alignment horizontal="center" vertical="center" textRotation="90"/>
    </xf>
    <xf numFmtId="0" fontId="0" fillId="0" borderId="48" xfId="0" applyFill="1" applyBorder="1" applyAlignment="1">
      <alignment horizontal="center" vertical="center"/>
    </xf>
    <xf numFmtId="0" fontId="10" fillId="5" borderId="19" xfId="0" applyFont="1" applyFill="1" applyBorder="1" applyAlignment="1">
      <alignment horizontal="center" vertical="center" textRotation="90"/>
    </xf>
    <xf numFmtId="0" fontId="4" fillId="2" borderId="7" xfId="0" applyFont="1" applyFill="1" applyBorder="1" applyAlignment="1">
      <alignment vertical="center"/>
    </xf>
    <xf numFmtId="0" fontId="0" fillId="0" borderId="49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11" fillId="6" borderId="15" xfId="0" applyFont="1" applyFill="1" applyBorder="1" applyAlignment="1">
      <alignment horizontal="center" vertical="center" textRotation="90" wrapText="1"/>
    </xf>
    <xf numFmtId="0" fontId="20" fillId="0" borderId="45" xfId="3" applyFill="1" applyBorder="1" applyAlignment="1">
      <alignment horizontal="center" vertical="center"/>
    </xf>
    <xf numFmtId="0" fontId="15" fillId="0" borderId="9" xfId="0" applyFont="1" applyFill="1" applyBorder="1" applyAlignment="1">
      <alignment horizontal="center" vertical="center"/>
    </xf>
    <xf numFmtId="0" fontId="11" fillId="6" borderId="50" xfId="0" applyFont="1" applyFill="1" applyBorder="1" applyAlignment="1">
      <alignment horizontal="center" vertical="center" textRotation="90" wrapText="1"/>
    </xf>
    <xf numFmtId="0" fontId="0" fillId="3" borderId="18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 textRotation="90" wrapText="1"/>
    </xf>
    <xf numFmtId="0" fontId="0" fillId="0" borderId="35" xfId="0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left" vertical="top" wrapText="1"/>
    </xf>
    <xf numFmtId="0" fontId="4" fillId="2" borderId="40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 vertical="top" wrapText="1"/>
    </xf>
    <xf numFmtId="0" fontId="4" fillId="2" borderId="53" xfId="0" applyFont="1" applyFill="1" applyBorder="1" applyAlignment="1">
      <alignment horizontal="left" vertical="top" wrapText="1"/>
    </xf>
    <xf numFmtId="0" fontId="23" fillId="0" borderId="12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23" fillId="0" borderId="40" xfId="0" applyFont="1" applyFill="1" applyBorder="1" applyAlignment="1">
      <alignment horizontal="left" vertical="top" wrapText="1"/>
    </xf>
    <xf numFmtId="0" fontId="23" fillId="0" borderId="51" xfId="0" applyFont="1" applyBorder="1" applyAlignment="1">
      <alignment horizontal="left" vertical="top" wrapText="1"/>
    </xf>
    <xf numFmtId="0" fontId="23" fillId="0" borderId="12" xfId="0" applyFont="1" applyBorder="1" applyAlignment="1">
      <alignment horizontal="left" vertical="top"/>
    </xf>
    <xf numFmtId="0" fontId="23" fillId="0" borderId="40" xfId="0" applyFont="1" applyBorder="1" applyAlignment="1">
      <alignment horizontal="left" vertical="top" wrapText="1"/>
    </xf>
    <xf numFmtId="0" fontId="23" fillId="0" borderId="12" xfId="0" applyFont="1" applyFill="1" applyBorder="1" applyAlignment="1">
      <alignment horizontal="left" vertical="top" wrapText="1"/>
    </xf>
    <xf numFmtId="0" fontId="4" fillId="2" borderId="40" xfId="0" applyFont="1" applyFill="1" applyBorder="1" applyAlignment="1">
      <alignment vertical="top" wrapText="1"/>
    </xf>
    <xf numFmtId="0" fontId="23" fillId="2" borderId="14" xfId="0" applyFont="1" applyFill="1" applyBorder="1" applyAlignment="1">
      <alignment horizontal="left" vertical="top" wrapText="1"/>
    </xf>
    <xf numFmtId="0" fontId="24" fillId="2" borderId="10" xfId="0" applyFont="1" applyFill="1" applyBorder="1" applyAlignment="1">
      <alignment horizontal="left" vertical="top" wrapText="1"/>
    </xf>
    <xf numFmtId="0" fontId="23" fillId="2" borderId="12" xfId="0" applyFont="1" applyFill="1" applyBorder="1" applyAlignment="1">
      <alignment horizontal="left" vertical="top" wrapText="1"/>
    </xf>
    <xf numFmtId="0" fontId="24" fillId="2" borderId="12" xfId="0" applyFont="1" applyFill="1" applyBorder="1" applyAlignment="1">
      <alignment horizontal="left" vertical="top" wrapText="1"/>
    </xf>
    <xf numFmtId="0" fontId="23" fillId="2" borderId="10" xfId="0" applyFont="1" applyFill="1" applyBorder="1" applyAlignment="1">
      <alignment horizontal="left" vertical="top" wrapText="1"/>
    </xf>
    <xf numFmtId="0" fontId="23" fillId="2" borderId="40" xfId="0" applyFont="1" applyFill="1" applyBorder="1" applyAlignment="1">
      <alignment horizontal="left" vertical="top" wrapText="1"/>
    </xf>
    <xf numFmtId="0" fontId="0" fillId="2" borderId="54" xfId="0" applyFill="1" applyBorder="1" applyAlignment="1">
      <alignment horizontal="left" vertical="top" wrapText="1"/>
    </xf>
  </cellXfs>
  <cellStyles count="6">
    <cellStyle name="Normal" xfId="0" builtinId="0"/>
    <cellStyle name="Normal 2" xfId="3"/>
    <cellStyle name="Normal 3" xfId="2"/>
    <cellStyle name="Normal 3 2" xfId="5"/>
    <cellStyle name="Normal 4" xfId="4"/>
    <cellStyle name="常规 4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Status!$C$2</c:f>
              <c:strCache>
                <c:ptCount val="1"/>
                <c:pt idx="0">
                  <c:v>C10 Conti D28</c:v>
                </c:pt>
              </c:strCache>
            </c:strRef>
          </c:tx>
          <c:explosion val="25"/>
          <c:dPt>
            <c:idx val="0"/>
            <c:bubble3D val="0"/>
            <c:spPr>
              <a:solidFill>
                <a:srgbClr val="FF0000"/>
              </a:solidFill>
            </c:spPr>
          </c:dPt>
          <c:dPt>
            <c:idx val="1"/>
            <c:bubble3D val="0"/>
            <c:spPr>
              <a:solidFill>
                <a:srgbClr val="FFFF00"/>
              </a:solidFill>
            </c:spPr>
          </c:dPt>
          <c:dPt>
            <c:idx val="2"/>
            <c:bubble3D val="0"/>
            <c:spPr>
              <a:solidFill>
                <a:srgbClr val="00B0F0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Status!$B$3:$B$6</c:f>
              <c:strCache>
                <c:ptCount val="4"/>
                <c:pt idx="0">
                  <c:v>No info </c:v>
                </c:pt>
                <c:pt idx="1">
                  <c:v>Plan exists</c:v>
                </c:pt>
                <c:pt idx="2">
                  <c:v>Spec Available</c:v>
                </c:pt>
                <c:pt idx="3">
                  <c:v>SWU 100 %</c:v>
                </c:pt>
              </c:strCache>
            </c:strRef>
          </c:cat>
          <c:val>
            <c:numRef>
              <c:f>Status!$C$3:$C$6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1"/>
          <c:order val="1"/>
          <c:tx>
            <c:strRef>
              <c:f>Status!$D$2</c:f>
              <c:strCache>
                <c:ptCount val="1"/>
                <c:pt idx="0">
                  <c:v>A15 Conti D23</c:v>
                </c:pt>
              </c:strCache>
            </c:strRef>
          </c:tx>
          <c:explosion val="25"/>
          <c:dPt>
            <c:idx val="0"/>
            <c:bubble3D val="0"/>
            <c:spPr>
              <a:solidFill>
                <a:srgbClr val="FF0000"/>
              </a:solidFill>
            </c:spPr>
          </c:dPt>
          <c:dPt>
            <c:idx val="1"/>
            <c:bubble3D val="0"/>
            <c:spPr>
              <a:solidFill>
                <a:srgbClr val="FFFF00"/>
              </a:solidFill>
            </c:spPr>
          </c:dPt>
          <c:dPt>
            <c:idx val="2"/>
            <c:bubble3D val="0"/>
            <c:spPr>
              <a:solidFill>
                <a:srgbClr val="00B0F0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Status!$B$3:$B$6</c:f>
              <c:strCache>
                <c:ptCount val="4"/>
                <c:pt idx="0">
                  <c:v>No info </c:v>
                </c:pt>
                <c:pt idx="1">
                  <c:v>Plan exists</c:v>
                </c:pt>
                <c:pt idx="2">
                  <c:v>Spec Available</c:v>
                </c:pt>
                <c:pt idx="3">
                  <c:v>SWU 100 %</c:v>
                </c:pt>
              </c:strCache>
            </c:strRef>
          </c:cat>
          <c:val>
            <c:numRef>
              <c:f>Status!$D$3:$D$6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0"/>
          <c:order val="0"/>
          <c:tx>
            <c:strRef>
              <c:f>Status!$C$2</c:f>
              <c:strCache>
                <c:ptCount val="1"/>
                <c:pt idx="0">
                  <c:v>C10 Conti D28</c:v>
                </c:pt>
              </c:strCache>
            </c:strRef>
          </c:tx>
          <c:explosion val="25"/>
          <c:cat>
            <c:strRef>
              <c:f>Status!$B$3:$B$6</c:f>
              <c:strCache>
                <c:ptCount val="4"/>
                <c:pt idx="0">
                  <c:v>No info </c:v>
                </c:pt>
                <c:pt idx="1">
                  <c:v>Plan exists</c:v>
                </c:pt>
                <c:pt idx="2">
                  <c:v>Spec Available</c:v>
                </c:pt>
                <c:pt idx="3">
                  <c:v>SWU 100 %</c:v>
                </c:pt>
              </c:strCache>
            </c:strRef>
          </c:cat>
          <c:val>
            <c:numRef>
              <c:f>Status!$C$3:$C$6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2"/>
          <c:order val="2"/>
          <c:tx>
            <c:strRef>
              <c:f>Status!$E$2</c:f>
              <c:strCache>
                <c:ptCount val="1"/>
                <c:pt idx="0">
                  <c:v>EW10 Conti DM5L</c:v>
                </c:pt>
              </c:strCache>
            </c:strRef>
          </c:tx>
          <c:explosion val="25"/>
          <c:dPt>
            <c:idx val="0"/>
            <c:bubble3D val="0"/>
            <c:spPr>
              <a:solidFill>
                <a:srgbClr val="FF0000"/>
              </a:solidFill>
            </c:spPr>
          </c:dPt>
          <c:dPt>
            <c:idx val="1"/>
            <c:bubble3D val="0"/>
            <c:spPr>
              <a:solidFill>
                <a:srgbClr val="FFFF00"/>
              </a:solidFill>
            </c:spPr>
          </c:dPt>
          <c:dPt>
            <c:idx val="2"/>
            <c:bubble3D val="0"/>
            <c:spPr>
              <a:solidFill>
                <a:srgbClr val="00B0F0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Status!$B$3:$B$6</c:f>
              <c:strCache>
                <c:ptCount val="4"/>
                <c:pt idx="0">
                  <c:v>No info </c:v>
                </c:pt>
                <c:pt idx="1">
                  <c:v>Plan exists</c:v>
                </c:pt>
                <c:pt idx="2">
                  <c:v>Spec Available</c:v>
                </c:pt>
                <c:pt idx="3">
                  <c:v>SWU 100 %</c:v>
                </c:pt>
              </c:strCache>
            </c:strRef>
          </c:cat>
          <c:val>
            <c:numRef>
              <c:f>Status!$E$3:$E$6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Status!$D$2</c:f>
              <c:strCache>
                <c:ptCount val="1"/>
                <c:pt idx="0">
                  <c:v>A15 Conti D23</c:v>
                </c:pt>
              </c:strCache>
            </c:strRef>
          </c:tx>
          <c:explosion val="25"/>
          <c:cat>
            <c:strRef>
              <c:f>Status!$B$3:$B$6</c:f>
              <c:strCache>
                <c:ptCount val="4"/>
                <c:pt idx="0">
                  <c:v>No info </c:v>
                </c:pt>
                <c:pt idx="1">
                  <c:v>Plan exists</c:v>
                </c:pt>
                <c:pt idx="2">
                  <c:v>Spec Available</c:v>
                </c:pt>
                <c:pt idx="3">
                  <c:v>SWU 100 %</c:v>
                </c:pt>
              </c:strCache>
            </c:strRef>
          </c:cat>
          <c:val>
            <c:numRef>
              <c:f>Status!$D$3:$D$6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0"/>
          <c:order val="0"/>
          <c:tx>
            <c:strRef>
              <c:f>Status!$C$2</c:f>
              <c:strCache>
                <c:ptCount val="1"/>
                <c:pt idx="0">
                  <c:v>C10 Conti D28</c:v>
                </c:pt>
              </c:strCache>
            </c:strRef>
          </c:tx>
          <c:explosion val="25"/>
          <c:cat>
            <c:strRef>
              <c:f>Status!$B$3:$B$6</c:f>
              <c:strCache>
                <c:ptCount val="4"/>
                <c:pt idx="0">
                  <c:v>No info </c:v>
                </c:pt>
                <c:pt idx="1">
                  <c:v>Plan exists</c:v>
                </c:pt>
                <c:pt idx="2">
                  <c:v>Spec Available</c:v>
                </c:pt>
                <c:pt idx="3">
                  <c:v>SWU 100 %</c:v>
                </c:pt>
              </c:strCache>
            </c:strRef>
          </c:cat>
          <c:val>
            <c:numRef>
              <c:f>Status!$C$3:$C$6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Status!$F$2</c:f>
              <c:strCache>
                <c:ptCount val="1"/>
                <c:pt idx="0">
                  <c:v>XXX</c:v>
                </c:pt>
              </c:strCache>
            </c:strRef>
          </c:tx>
          <c:explosion val="25"/>
          <c:dPt>
            <c:idx val="0"/>
            <c:bubble3D val="0"/>
            <c:spPr>
              <a:solidFill>
                <a:srgbClr val="FF0000"/>
              </a:solidFill>
            </c:spPr>
          </c:dPt>
          <c:dPt>
            <c:idx val="1"/>
            <c:bubble3D val="0"/>
            <c:spPr>
              <a:solidFill>
                <a:srgbClr val="FFFF00"/>
              </a:solidFill>
            </c:spPr>
          </c:dPt>
          <c:dPt>
            <c:idx val="2"/>
            <c:bubble3D val="0"/>
            <c:spPr>
              <a:solidFill>
                <a:srgbClr val="00B0F0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Status!$B$3:$B$6</c:f>
              <c:strCache>
                <c:ptCount val="4"/>
                <c:pt idx="0">
                  <c:v>No info </c:v>
                </c:pt>
                <c:pt idx="1">
                  <c:v>Plan exists</c:v>
                </c:pt>
                <c:pt idx="2">
                  <c:v>Spec Available</c:v>
                </c:pt>
                <c:pt idx="3">
                  <c:v>SWU 100 %</c:v>
                </c:pt>
              </c:strCache>
            </c:strRef>
          </c:cat>
          <c:val>
            <c:numRef>
              <c:f>Status!$F$3:$F$6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'Follow up'!$G$153</c:f>
              <c:strCache>
                <c:ptCount val="1"/>
                <c:pt idx="0">
                  <c:v>Initial Cal</c:v>
                </c:pt>
              </c:strCache>
            </c:strRef>
          </c:tx>
          <c:val>
            <c:numRef>
              <c:f>'Follow up'!$G$154</c:f>
            </c:numRef>
          </c:val>
          <c:smooth val="0"/>
        </c:ser>
        <c:ser>
          <c:idx val="1"/>
          <c:order val="1"/>
          <c:tx>
            <c:strRef>
              <c:f>'Follow up'!$G$155</c:f>
              <c:strCache>
                <c:ptCount val="1"/>
                <c:pt idx="0">
                  <c:v>50% Cal</c:v>
                </c:pt>
              </c:strCache>
            </c:strRef>
          </c:tx>
          <c:val>
            <c:numRef>
              <c:f>'Follow up'!$G$156</c:f>
            </c:numRef>
          </c:val>
          <c:smooth val="0"/>
        </c:ser>
        <c:ser>
          <c:idx val="2"/>
          <c:order val="2"/>
          <c:tx>
            <c:strRef>
              <c:f>'Follow up'!$G$157</c:f>
              <c:strCache>
                <c:ptCount val="1"/>
                <c:pt idx="0">
                  <c:v>65% Cal</c:v>
                </c:pt>
              </c:strCache>
            </c:strRef>
          </c:tx>
          <c:val>
            <c:numRef>
              <c:f>'Follow up'!$G$158</c:f>
            </c:numRef>
          </c:val>
          <c:smooth val="0"/>
        </c:ser>
        <c:ser>
          <c:idx val="3"/>
          <c:order val="3"/>
          <c:tx>
            <c:strRef>
              <c:f>'Follow up'!$G$159</c:f>
              <c:strCache>
                <c:ptCount val="1"/>
                <c:pt idx="0">
                  <c:v>80% Cal</c:v>
                </c:pt>
              </c:strCache>
            </c:strRef>
          </c:tx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4"/>
          <c:order val="4"/>
          <c:tx>
            <c:strRef>
              <c:f>'Follow up'!$G$161</c:f>
              <c:strCache>
                <c:ptCount val="1"/>
                <c:pt idx="0">
                  <c:v>99% Cal</c:v>
                </c:pt>
              </c:strCache>
            </c:strRef>
          </c:tx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ser>
          <c:idx val="5"/>
          <c:order val="5"/>
          <c:tx>
            <c:strRef>
              <c:f>'Follow up'!$G$163</c:f>
              <c:strCache>
                <c:ptCount val="1"/>
                <c:pt idx="0">
                  <c:v>100% Cal</c:v>
                </c:pt>
              </c:strCache>
            </c:strRef>
          </c:tx>
          <c:val>
            <c:numRef>
              <c:f>'Follow up'!$G$164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44544"/>
        <c:axId val="178450432"/>
      </c:lineChart>
      <c:catAx>
        <c:axId val="178444544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78450432"/>
        <c:crosses val="autoZero"/>
        <c:auto val="1"/>
        <c:lblAlgn val="ctr"/>
        <c:lblOffset val="100"/>
        <c:noMultiLvlLbl val="0"/>
      </c:catAx>
      <c:valAx>
        <c:axId val="17845043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General" sourceLinked="1"/>
        <c:majorTickMark val="none"/>
        <c:minorTickMark val="none"/>
        <c:tickLblPos val="nextTo"/>
        <c:crossAx val="178444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181218</xdr:colOff>
      <xdr:row>0</xdr:row>
      <xdr:rowOff>52802</xdr:rowOff>
    </xdr:from>
    <xdr:to>
      <xdr:col>6</xdr:col>
      <xdr:colOff>0</xdr:colOff>
      <xdr:row>6</xdr:row>
      <xdr:rowOff>0</xdr:rowOff>
    </xdr:to>
    <xdr:grpSp>
      <xdr:nvGrpSpPr>
        <xdr:cNvPr id="4" name="Group 3"/>
        <xdr:cNvGrpSpPr/>
      </xdr:nvGrpSpPr>
      <xdr:grpSpPr>
        <a:xfrm>
          <a:off x="181218" y="0"/>
          <a:ext cx="9058032" cy="0"/>
          <a:chOff x="181218" y="52802"/>
          <a:chExt cx="7095379" cy="1852089"/>
        </a:xfrm>
      </xdr:grpSpPr>
      <xdr:sp macro="" textlink="">
        <xdr:nvSpPr>
          <xdr:cNvPr id="5" name="TextBox 4"/>
          <xdr:cNvSpPr txBox="1"/>
        </xdr:nvSpPr>
        <xdr:spPr>
          <a:xfrm>
            <a:off x="214690" y="52802"/>
            <a:ext cx="6938577" cy="169979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endParaRPr lang="en-US" sz="1100"/>
          </a:p>
        </xdr:txBody>
      </xdr:sp>
      <xdr:sp macro="" textlink="">
        <xdr:nvSpPr>
          <xdr:cNvPr id="6" name="TextBox 5"/>
          <xdr:cNvSpPr txBox="1"/>
        </xdr:nvSpPr>
        <xdr:spPr>
          <a:xfrm>
            <a:off x="1702905" y="661334"/>
            <a:ext cx="895771" cy="1189851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>
              <a:spcBef>
                <a:spcPts val="0"/>
              </a:spcBef>
              <a:spcAft>
                <a:spcPts val="300"/>
              </a:spcAft>
            </a:pPr>
            <a:r>
              <a:rPr lang="en-US" sz="1000" b="1" i="1">
                <a:latin typeface="Arial" panose="020B0604020202020204" pitchFamily="34" charset="0"/>
                <a:cs typeface="Arial" panose="020B0604020202020204" pitchFamily="34" charset="0"/>
              </a:rPr>
              <a:t>Customer: </a:t>
            </a:r>
          </a:p>
          <a:p>
            <a:pPr>
              <a:spcBef>
                <a:spcPts val="0"/>
              </a:spcBef>
              <a:spcAft>
                <a:spcPts val="300"/>
              </a:spcAft>
            </a:pPr>
            <a:r>
              <a:rPr lang="en-US" sz="1000" b="1" i="1">
                <a:latin typeface="Arial" panose="020B0604020202020204" pitchFamily="34" charset="0"/>
                <a:cs typeface="Arial" panose="020B0604020202020204" pitchFamily="34" charset="0"/>
              </a:rPr>
              <a:t>Internt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endParaRPr lang="en-US" sz="1000" b="1" i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1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Project</a:t>
            </a:r>
            <a:r>
              <a:rPr lang="en-US" sz="1000" b="1" i="1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</a:t>
            </a:r>
            <a:r>
              <a:rPr lang="en-US" sz="1000" b="1" i="1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name:</a:t>
            </a:r>
          </a:p>
        </xdr:txBody>
      </xdr:sp>
      <xdr:sp macro="" textlink="">
        <xdr:nvSpPr>
          <xdr:cNvPr id="7" name="TextBox 6"/>
          <xdr:cNvSpPr txBox="1"/>
        </xdr:nvSpPr>
        <xdr:spPr>
          <a:xfrm>
            <a:off x="2949443" y="641765"/>
            <a:ext cx="1291897" cy="1189851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1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Reg. no.: 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r>
              <a:rPr lang="en-US" sz="1000" b="1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xxxxx_xxxx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endParaRPr lang="en-US" sz="1000" b="1" i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1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Issue:  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r>
              <a:rPr lang="en-US" sz="1000" b="1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01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endParaRPr lang="en-US" sz="10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8" name="TextBox 7"/>
          <xdr:cNvSpPr txBox="1"/>
        </xdr:nvSpPr>
        <xdr:spPr>
          <a:xfrm>
            <a:off x="181218" y="677857"/>
            <a:ext cx="1495181" cy="122703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1">
                <a:solidFill>
                  <a:schemeClr val="tx1"/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rPr>
              <a:t>Is</a:t>
            </a:r>
            <a:r>
              <a:rPr lang="en-US" sz="1000" b="1" i="1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sued by: 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1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Dennis</a:t>
            </a:r>
            <a:r>
              <a:rPr lang="en-US" sz="1000" b="1" i="1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Kristensson </a:t>
            </a:r>
            <a:endParaRPr lang="en-US" sz="1000" b="1" i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endParaRPr lang="en-US" sz="1000" b="1" i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eaLnBrk="1" fontAlgn="auto" latinLnBrk="0" hangingPunct="1">
              <a:spcBef>
                <a:spcPts val="0"/>
              </a:spcBef>
              <a:spcAft>
                <a:spcPts val="300"/>
              </a:spcAft>
            </a:pPr>
            <a:r>
              <a:rPr lang="en-US" sz="1000" b="1" i="1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Approved by: 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300"/>
              </a:spcAft>
              <a:buClrTx/>
              <a:buSzTx/>
              <a:buFontTx/>
              <a:buNone/>
              <a:tabLst/>
              <a:defRPr/>
            </a:pPr>
            <a:r>
              <a:rPr lang="en-US" sz="1000" b="1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Klas Lundgren </a:t>
            </a:r>
          </a:p>
        </xdr:txBody>
      </xdr:sp>
      <xdr:sp macro="" textlink="">
        <xdr:nvSpPr>
          <xdr:cNvPr id="9" name="TextBox 8"/>
          <xdr:cNvSpPr txBox="1"/>
        </xdr:nvSpPr>
        <xdr:spPr>
          <a:xfrm>
            <a:off x="4176044" y="631780"/>
            <a:ext cx="3100553" cy="1082720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>
              <a:spcBef>
                <a:spcPts val="0"/>
              </a:spcBef>
              <a:spcAft>
                <a:spcPts val="300"/>
              </a:spcAft>
            </a:pPr>
            <a:r>
              <a:rPr lang="en-US" sz="1000" b="1" i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Document name: </a:t>
            </a:r>
          </a:p>
          <a:p>
            <a:pPr>
              <a:spcBef>
                <a:spcPts val="0"/>
              </a:spcBef>
              <a:spcAft>
                <a:spcPts val="300"/>
              </a:spcAft>
            </a:pPr>
            <a:r>
              <a:rPr lang="en-US" sz="1000" b="1" i="0">
                <a:latin typeface="Arial" panose="020B0604020202020204" pitchFamily="34" charset="0"/>
                <a:cs typeface="Arial" panose="020B0604020202020204" pitchFamily="34" charset="0"/>
              </a:rPr>
              <a:t>Project Follow up</a:t>
            </a:r>
            <a:r>
              <a:rPr lang="en-US" sz="1000" b="1" i="0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endParaRPr lang="en-US" sz="1000" b="1" i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eaLnBrk="1" fontAlgn="auto" latinLnBrk="0" hangingPunct="1"/>
            <a:endParaRPr lang="en-US" sz="1100" b="1" i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eaLnBrk="1" fontAlgn="auto" latinLnBrk="0" hangingPunct="1"/>
            <a:r>
              <a:rPr lang="en-US" sz="1000" b="1" i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Date</a:t>
            </a:r>
            <a:r>
              <a:rPr lang="en-US" sz="1000" b="1" i="0">
                <a:solidFill>
                  <a:schemeClr val="tx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:  </a:t>
            </a:r>
            <a:endParaRPr lang="sv-SE" sz="1000" b="1" i="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eaLnBrk="1" fontAlgn="auto" latinLnBrk="0" hangingPunct="1"/>
            <a:r>
              <a:rPr lang="en-US" sz="1000" b="1" i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2015-04-16</a:t>
            </a:r>
            <a:endParaRPr lang="sv-SE" sz="1000" b="1" i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>
              <a:spcBef>
                <a:spcPts val="0"/>
              </a:spcBef>
              <a:spcAft>
                <a:spcPts val="300"/>
              </a:spcAft>
            </a:pPr>
            <a:endParaRPr lang="en-US" sz="1000">
              <a:latin typeface="Tahoma" pitchFamily="34" charset="0"/>
              <a:cs typeface="Tahoma" pitchFamily="34" charset="0"/>
            </a:endParaRPr>
          </a:p>
          <a:p>
            <a:pPr>
              <a:spcBef>
                <a:spcPts val="0"/>
              </a:spcBef>
              <a:spcAft>
                <a:spcPts val="300"/>
              </a:spcAft>
            </a:pPr>
            <a:endParaRPr lang="en-US" sz="1000">
              <a:latin typeface="Tahoma" pitchFamily="34" charset="0"/>
              <a:cs typeface="Tahoma" pitchFamily="34" charset="0"/>
            </a:endParaRPr>
          </a:p>
          <a:p>
            <a:pPr>
              <a:spcBef>
                <a:spcPts val="0"/>
              </a:spcBef>
              <a:spcAft>
                <a:spcPts val="300"/>
              </a:spcAft>
            </a:pPr>
            <a:endParaRPr lang="en-US" sz="1000">
              <a:latin typeface="Tahoma" pitchFamily="34" charset="0"/>
              <a:cs typeface="Tahoma" pitchFamily="34" charset="0"/>
            </a:endParaRPr>
          </a:p>
        </xdr:txBody>
      </xdr:sp>
    </xdr:grpSp>
    <xdr:clientData/>
  </xdr:twoCellAnchor>
  <xdr:twoCellAnchor>
    <xdr:from>
      <xdr:col>1</xdr:col>
      <xdr:colOff>85725</xdr:colOff>
      <xdr:row>0</xdr:row>
      <xdr:rowOff>76200</xdr:rowOff>
    </xdr:from>
    <xdr:to>
      <xdr:col>3</xdr:col>
      <xdr:colOff>0</xdr:colOff>
      <xdr:row>0</xdr:row>
      <xdr:rowOff>652142</xdr:rowOff>
    </xdr:to>
    <xdr:pic>
      <xdr:nvPicPr>
        <xdr:cNvPr id="11" name="Picture 2" descr="Description: C:\Users\anna.morkerdal\Desktop\Anna Mörkerdal\T-logga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76200"/>
          <a:ext cx="2981325" cy="5759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6</xdr:row>
      <xdr:rowOff>176212</xdr:rowOff>
    </xdr:from>
    <xdr:to>
      <xdr:col>5</xdr:col>
      <xdr:colOff>666750</xdr:colOff>
      <xdr:row>21</xdr:row>
      <xdr:rowOff>80962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838200</xdr:colOff>
      <xdr:row>6</xdr:row>
      <xdr:rowOff>176212</xdr:rowOff>
    </xdr:from>
    <xdr:to>
      <xdr:col>13</xdr:col>
      <xdr:colOff>9525</xdr:colOff>
      <xdr:row>21</xdr:row>
      <xdr:rowOff>80962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24</xdr:row>
      <xdr:rowOff>23812</xdr:rowOff>
    </xdr:from>
    <xdr:to>
      <xdr:col>5</xdr:col>
      <xdr:colOff>647700</xdr:colOff>
      <xdr:row>38</xdr:row>
      <xdr:rowOff>100012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895350</xdr:colOff>
      <xdr:row>24</xdr:row>
      <xdr:rowOff>42862</xdr:rowOff>
    </xdr:from>
    <xdr:to>
      <xdr:col>13</xdr:col>
      <xdr:colOff>66675</xdr:colOff>
      <xdr:row>38</xdr:row>
      <xdr:rowOff>119062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76200</xdr:colOff>
      <xdr:row>42</xdr:row>
      <xdr:rowOff>147637</xdr:rowOff>
    </xdr:from>
    <xdr:to>
      <xdr:col>9</xdr:col>
      <xdr:colOff>552450</xdr:colOff>
      <xdr:row>57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K164"/>
  <sheetViews>
    <sheetView tabSelected="1" zoomScale="80" zoomScaleNormal="80" workbookViewId="0">
      <pane ySplit="12" topLeftCell="A13" activePane="bottomLeft" state="frozen"/>
      <selection pane="bottomLeft" activeCell="AK36" sqref="AK36"/>
    </sheetView>
  </sheetViews>
  <sheetFormatPr defaultRowHeight="18" customHeight="1" outlineLevelRow="1" outlineLevelCol="1"/>
  <cols>
    <col min="1" max="1" width="3" customWidth="1"/>
    <col min="2" max="2" width="4" customWidth="1"/>
    <col min="3" max="3" width="42" style="1" customWidth="1"/>
    <col min="4" max="4" width="41.7109375" style="13" customWidth="1"/>
    <col min="5" max="5" width="31.140625" style="13" customWidth="1"/>
    <col min="6" max="6" width="16.7109375" style="4" customWidth="1"/>
    <col min="7" max="7" width="16.7109375" style="4" hidden="1" customWidth="1" outlineLevel="1"/>
    <col min="8" max="13" width="9.140625" style="4" hidden="1" customWidth="1" outlineLevel="1"/>
    <col min="14" max="14" width="16.7109375" style="4" customWidth="1" collapsed="1"/>
    <col min="15" max="20" width="9.140625" style="4" hidden="1" customWidth="1" outlineLevel="1"/>
    <col min="21" max="21" width="16.7109375" style="4" customWidth="1" collapsed="1"/>
    <col min="22" max="27" width="9.140625" style="4" hidden="1" customWidth="1" outlineLevel="1"/>
    <col min="28" max="28" width="16.7109375" style="4" customWidth="1" collapsed="1"/>
    <col min="29" max="34" width="9.140625" style="4" hidden="1" customWidth="1" outlineLevel="1"/>
    <col min="35" max="35" width="11.42578125" customWidth="1" collapsed="1"/>
  </cols>
  <sheetData>
    <row r="1" spans="1:37" s="40" customFormat="1" ht="54.95" hidden="1" customHeight="1" outlineLevel="1">
      <c r="A1" s="37"/>
      <c r="B1" s="38"/>
      <c r="C1" s="38"/>
      <c r="D1" s="39"/>
      <c r="E1" s="39"/>
      <c r="F1" s="38"/>
      <c r="G1" s="42"/>
      <c r="H1" s="42"/>
      <c r="I1" s="62"/>
    </row>
    <row r="2" spans="1:37" s="40" customFormat="1" ht="54.95" hidden="1" customHeight="1" outlineLevel="1">
      <c r="A2" s="41"/>
      <c r="B2" s="42"/>
      <c r="C2" s="42"/>
      <c r="D2" s="43"/>
      <c r="E2" s="43"/>
      <c r="F2" s="42"/>
      <c r="G2" s="42"/>
      <c r="H2" s="42"/>
      <c r="I2" s="62"/>
    </row>
    <row r="3" spans="1:37" s="40" customFormat="1" ht="12.75" hidden="1" outlineLevel="1">
      <c r="A3" s="41"/>
      <c r="B3" s="42"/>
      <c r="C3" s="42"/>
      <c r="D3" s="43"/>
      <c r="E3" s="43"/>
      <c r="F3" s="42"/>
      <c r="G3" s="42"/>
      <c r="H3" s="42"/>
      <c r="I3" s="62"/>
    </row>
    <row r="4" spans="1:37" s="40" customFormat="1" ht="12.75" hidden="1" outlineLevel="1">
      <c r="A4" s="41"/>
      <c r="B4" s="42"/>
      <c r="C4" s="42"/>
      <c r="D4" s="43"/>
      <c r="E4" s="43"/>
      <c r="F4" s="42"/>
      <c r="G4" s="42"/>
      <c r="H4" s="42"/>
      <c r="I4" s="62"/>
    </row>
    <row r="5" spans="1:37" s="40" customFormat="1" ht="16.5" hidden="1" customHeight="1" outlineLevel="1">
      <c r="A5" s="41"/>
      <c r="B5" s="42"/>
      <c r="C5" s="42"/>
      <c r="D5" s="43"/>
      <c r="E5" s="43"/>
      <c r="F5" s="42"/>
      <c r="G5" s="42"/>
      <c r="H5" s="63"/>
      <c r="I5" s="62"/>
    </row>
    <row r="6" spans="1:37" s="40" customFormat="1" ht="12.75" hidden="1" outlineLevel="1">
      <c r="A6" s="41"/>
      <c r="B6" s="42"/>
      <c r="C6" s="42"/>
      <c r="D6" s="43"/>
      <c r="E6" s="43"/>
      <c r="F6" s="42"/>
      <c r="G6" s="42"/>
      <c r="H6" s="42"/>
      <c r="I6" s="62"/>
    </row>
    <row r="7" spans="1:37" ht="18" hidden="1" customHeight="1" outlineLevel="1">
      <c r="B7" s="2"/>
      <c r="C7" s="10"/>
      <c r="D7" s="14"/>
      <c r="E7" s="14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</row>
    <row r="8" spans="1:37" ht="18" hidden="1" customHeight="1" outlineLevel="1">
      <c r="B8" s="2"/>
      <c r="C8" s="67" t="s">
        <v>14</v>
      </c>
      <c r="D8" s="70" t="s">
        <v>26</v>
      </c>
      <c r="E8" s="14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</row>
    <row r="9" spans="1:37" ht="15" hidden="1" outlineLevel="1">
      <c r="B9" s="2"/>
      <c r="C9" s="69" t="s">
        <v>15</v>
      </c>
      <c r="D9" s="71" t="s">
        <v>16</v>
      </c>
      <c r="E9" s="15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</row>
    <row r="10" spans="1:37" ht="21.75" hidden="1" outlineLevel="1" thickBot="1">
      <c r="B10" s="2"/>
      <c r="C10" s="10"/>
      <c r="D10" s="14"/>
      <c r="E10" s="14"/>
    </row>
    <row r="11" spans="1:37" ht="54" customHeight="1" collapsed="1" thickBot="1">
      <c r="B11" s="139"/>
      <c r="C11" s="129" t="s">
        <v>0</v>
      </c>
      <c r="D11" s="129" t="s">
        <v>4</v>
      </c>
      <c r="E11" s="131" t="s">
        <v>2</v>
      </c>
      <c r="F11" s="126" t="s">
        <v>43</v>
      </c>
      <c r="G11" s="140"/>
      <c r="H11" s="127"/>
      <c r="I11" s="127"/>
      <c r="J11" s="127"/>
      <c r="K11" s="127"/>
      <c r="L11" s="127"/>
      <c r="M11" s="128"/>
      <c r="N11" s="141" t="s">
        <v>43</v>
      </c>
      <c r="O11" s="142"/>
      <c r="P11" s="142"/>
      <c r="Q11" s="142"/>
      <c r="R11" s="142"/>
      <c r="S11" s="142"/>
      <c r="T11" s="143"/>
      <c r="U11" s="141" t="s">
        <v>43</v>
      </c>
      <c r="V11" s="142"/>
      <c r="W11" s="142"/>
      <c r="X11" s="142"/>
      <c r="Y11" s="142"/>
      <c r="Z11" s="142"/>
      <c r="AA11" s="143"/>
      <c r="AB11" s="126" t="s">
        <v>43</v>
      </c>
      <c r="AC11" s="127"/>
      <c r="AD11" s="127"/>
      <c r="AE11" s="127"/>
      <c r="AF11" s="127"/>
      <c r="AG11" s="127"/>
      <c r="AH11" s="128"/>
      <c r="AI11" s="64"/>
    </row>
    <row r="12" spans="1:37" ht="19.5" customHeight="1" thickBot="1">
      <c r="B12" s="187"/>
      <c r="C12" s="130"/>
      <c r="D12" s="130"/>
      <c r="E12" s="132"/>
      <c r="F12" s="87" t="s">
        <v>12</v>
      </c>
      <c r="G12" s="116" t="s">
        <v>34</v>
      </c>
      <c r="H12" s="86" t="s">
        <v>9</v>
      </c>
      <c r="I12" s="86" t="s">
        <v>11</v>
      </c>
      <c r="J12" s="86" t="s">
        <v>33</v>
      </c>
      <c r="K12" s="86" t="s">
        <v>32</v>
      </c>
      <c r="L12" s="86" t="s">
        <v>7</v>
      </c>
      <c r="M12" s="88" t="s">
        <v>10</v>
      </c>
      <c r="N12" s="87" t="s">
        <v>12</v>
      </c>
      <c r="O12" s="86" t="s">
        <v>13</v>
      </c>
      <c r="P12" s="86" t="s">
        <v>11</v>
      </c>
      <c r="Q12" s="86" t="s">
        <v>8</v>
      </c>
      <c r="R12" s="86" t="s">
        <v>9</v>
      </c>
      <c r="S12" s="86" t="s">
        <v>7</v>
      </c>
      <c r="T12" s="88" t="s">
        <v>10</v>
      </c>
      <c r="U12" s="87" t="s">
        <v>12</v>
      </c>
      <c r="V12" s="86" t="s">
        <v>13</v>
      </c>
      <c r="W12" s="86" t="s">
        <v>11</v>
      </c>
      <c r="X12" s="86" t="s">
        <v>8</v>
      </c>
      <c r="Y12" s="86" t="s">
        <v>9</v>
      </c>
      <c r="Z12" s="86" t="s">
        <v>7</v>
      </c>
      <c r="AA12" s="88" t="s">
        <v>10</v>
      </c>
      <c r="AB12" s="89" t="s">
        <v>12</v>
      </c>
      <c r="AC12" s="65" t="s">
        <v>13</v>
      </c>
      <c r="AD12" s="33" t="s">
        <v>11</v>
      </c>
      <c r="AE12" s="33" t="s">
        <v>8</v>
      </c>
      <c r="AF12" s="33" t="s">
        <v>9</v>
      </c>
      <c r="AG12" s="33" t="s">
        <v>7</v>
      </c>
      <c r="AH12" s="34" t="s">
        <v>10</v>
      </c>
      <c r="AI12" s="4"/>
    </row>
    <row r="13" spans="1:37" ht="15" customHeight="1">
      <c r="B13" s="133" t="s">
        <v>46</v>
      </c>
      <c r="C13" s="93"/>
      <c r="D13" s="49"/>
      <c r="E13" s="118"/>
      <c r="F13" s="157"/>
      <c r="G13" s="188"/>
      <c r="H13" s="147"/>
      <c r="I13" s="147"/>
      <c r="J13" s="147"/>
      <c r="K13" s="147"/>
      <c r="L13" s="147"/>
      <c r="M13" s="159"/>
      <c r="N13" s="157"/>
      <c r="O13" s="147"/>
      <c r="P13" s="147"/>
      <c r="Q13" s="147"/>
      <c r="R13" s="147"/>
      <c r="S13" s="147"/>
      <c r="T13" s="147"/>
      <c r="U13" s="160"/>
      <c r="V13" s="147"/>
      <c r="W13" s="147"/>
      <c r="X13" s="147"/>
      <c r="Y13" s="147"/>
      <c r="Z13" s="147"/>
      <c r="AA13" s="147"/>
      <c r="AB13" s="161"/>
      <c r="AC13" s="59"/>
      <c r="AD13" s="32"/>
      <c r="AE13" s="32"/>
      <c r="AF13" s="32"/>
      <c r="AG13" s="32"/>
      <c r="AH13" s="32">
        <v>2</v>
      </c>
    </row>
    <row r="14" spans="1:37" ht="15" customHeight="1">
      <c r="B14" s="134"/>
      <c r="C14" s="94"/>
      <c r="D14" s="8"/>
      <c r="E14" s="119"/>
      <c r="F14" s="162"/>
      <c r="G14" s="152"/>
      <c r="H14" s="148"/>
      <c r="I14" s="148"/>
      <c r="J14" s="148"/>
      <c r="K14" s="148"/>
      <c r="L14" s="148"/>
      <c r="M14" s="151"/>
      <c r="N14" s="162"/>
      <c r="O14" s="148"/>
      <c r="P14" s="148"/>
      <c r="Q14" s="148"/>
      <c r="R14" s="148"/>
      <c r="S14" s="148"/>
      <c r="T14" s="148"/>
      <c r="U14" s="146"/>
      <c r="V14" s="148"/>
      <c r="W14" s="148"/>
      <c r="X14" s="148"/>
      <c r="Y14" s="148"/>
      <c r="Z14" s="148"/>
      <c r="AA14" s="148"/>
      <c r="AB14" s="163"/>
      <c r="AC14" s="59"/>
      <c r="AD14" s="32"/>
      <c r="AE14" s="32"/>
      <c r="AF14" s="32"/>
      <c r="AG14" s="32"/>
      <c r="AH14" s="32"/>
    </row>
    <row r="15" spans="1:37" ht="15" customHeight="1">
      <c r="B15" s="134"/>
      <c r="C15" s="94"/>
      <c r="D15" s="8"/>
      <c r="E15" s="120"/>
      <c r="F15" s="162"/>
      <c r="G15" s="158"/>
      <c r="H15" s="148"/>
      <c r="I15" s="164"/>
      <c r="J15" s="148"/>
      <c r="K15" s="148"/>
      <c r="L15" s="148"/>
      <c r="M15" s="151"/>
      <c r="N15" s="162"/>
      <c r="O15" s="148"/>
      <c r="P15" s="148"/>
      <c r="Q15" s="148"/>
      <c r="R15" s="148"/>
      <c r="S15" s="148"/>
      <c r="T15" s="148"/>
      <c r="U15" s="146"/>
      <c r="V15" s="146"/>
      <c r="W15" s="146"/>
      <c r="X15" s="146"/>
      <c r="Y15" s="146"/>
      <c r="Z15" s="146"/>
      <c r="AA15" s="146"/>
      <c r="AB15" s="163"/>
      <c r="AC15" s="56"/>
      <c r="AD15" s="21"/>
      <c r="AE15" s="21"/>
      <c r="AF15" s="21"/>
      <c r="AG15" s="21"/>
      <c r="AH15" s="19"/>
      <c r="AJ15" s="67"/>
      <c r="AK15" t="s">
        <v>44</v>
      </c>
    </row>
    <row r="16" spans="1:37" ht="15" customHeight="1">
      <c r="B16" s="134"/>
      <c r="C16" s="94"/>
      <c r="D16" s="8"/>
      <c r="E16" s="120"/>
      <c r="F16" s="162"/>
      <c r="G16" s="158"/>
      <c r="H16" s="148"/>
      <c r="I16" s="148"/>
      <c r="J16" s="148"/>
      <c r="K16" s="148"/>
      <c r="L16" s="148"/>
      <c r="M16" s="151"/>
      <c r="N16" s="162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51"/>
      <c r="AC16" s="57"/>
      <c r="AD16" s="17"/>
      <c r="AE16" s="17"/>
      <c r="AF16" s="17"/>
      <c r="AG16" s="17"/>
      <c r="AH16" s="17"/>
      <c r="AJ16" s="69" t="s">
        <v>31</v>
      </c>
      <c r="AK16" t="s">
        <v>28</v>
      </c>
    </row>
    <row r="17" spans="2:37" ht="15" customHeight="1">
      <c r="B17" s="134"/>
      <c r="C17" s="94"/>
      <c r="D17" s="8"/>
      <c r="E17" s="120"/>
      <c r="F17" s="162"/>
      <c r="G17" s="158"/>
      <c r="H17" s="148"/>
      <c r="I17" s="148"/>
      <c r="J17" s="148"/>
      <c r="K17" s="148"/>
      <c r="L17" s="148"/>
      <c r="M17" s="151"/>
      <c r="N17" s="162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63"/>
      <c r="AC17" s="57"/>
      <c r="AD17" s="17"/>
      <c r="AE17" s="17"/>
      <c r="AF17" s="17"/>
      <c r="AG17" s="17"/>
      <c r="AH17" s="17"/>
      <c r="AJ17" s="70"/>
      <c r="AK17" t="s">
        <v>27</v>
      </c>
    </row>
    <row r="18" spans="2:37" ht="15" customHeight="1">
      <c r="B18" s="134"/>
      <c r="C18" s="94"/>
      <c r="D18" s="8"/>
      <c r="E18" s="120"/>
      <c r="F18" s="162"/>
      <c r="G18" s="158"/>
      <c r="H18" s="148"/>
      <c r="I18" s="148"/>
      <c r="J18" s="148"/>
      <c r="K18" s="148"/>
      <c r="L18" s="148"/>
      <c r="M18" s="151"/>
      <c r="N18" s="162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51"/>
      <c r="AC18" s="57"/>
      <c r="AD18" s="17"/>
      <c r="AE18" s="17"/>
      <c r="AF18" s="17"/>
      <c r="AG18" s="17"/>
      <c r="AH18" s="17"/>
      <c r="AJ18" s="71"/>
      <c r="AK18" t="s">
        <v>45</v>
      </c>
    </row>
    <row r="19" spans="2:37" ht="15" customHeight="1">
      <c r="B19" s="134"/>
      <c r="C19" s="94"/>
      <c r="D19" s="8"/>
      <c r="E19" s="120"/>
      <c r="F19" s="158"/>
      <c r="G19" s="152"/>
      <c r="H19" s="148"/>
      <c r="I19" s="148"/>
      <c r="J19" s="148"/>
      <c r="K19" s="148"/>
      <c r="L19" s="148"/>
      <c r="M19" s="151"/>
      <c r="N19" s="162"/>
      <c r="O19" s="148"/>
      <c r="P19" s="148"/>
      <c r="Q19" s="148"/>
      <c r="R19" s="148"/>
      <c r="S19" s="148"/>
      <c r="T19" s="148"/>
      <c r="U19" s="146"/>
      <c r="V19" s="146"/>
      <c r="W19" s="146"/>
      <c r="X19" s="146"/>
      <c r="Y19" s="146"/>
      <c r="Z19" s="146"/>
      <c r="AA19" s="146"/>
      <c r="AB19" s="163"/>
      <c r="AC19" s="56"/>
      <c r="AD19" s="21"/>
      <c r="AE19" s="21"/>
      <c r="AF19" s="21"/>
      <c r="AG19" s="21"/>
      <c r="AH19" s="19"/>
    </row>
    <row r="20" spans="2:37" ht="15" customHeight="1">
      <c r="B20" s="134"/>
      <c r="C20" s="94"/>
      <c r="D20" s="8"/>
      <c r="E20" s="121"/>
      <c r="F20" s="162"/>
      <c r="G20" s="158"/>
      <c r="H20" s="148"/>
      <c r="I20" s="148"/>
      <c r="J20" s="148"/>
      <c r="K20" s="148"/>
      <c r="L20" s="148"/>
      <c r="M20" s="151"/>
      <c r="N20" s="162"/>
      <c r="O20" s="148"/>
      <c r="P20" s="148"/>
      <c r="Q20" s="148"/>
      <c r="R20" s="148"/>
      <c r="S20" s="148"/>
      <c r="T20" s="148"/>
      <c r="U20" s="146"/>
      <c r="V20" s="146"/>
      <c r="W20" s="146"/>
      <c r="X20" s="146"/>
      <c r="Y20" s="146"/>
      <c r="Z20" s="146"/>
      <c r="AA20" s="146"/>
      <c r="AB20" s="163"/>
      <c r="AC20" s="56"/>
      <c r="AD20" s="21"/>
      <c r="AE20" s="21"/>
      <c r="AF20" s="21"/>
      <c r="AG20" s="21"/>
      <c r="AH20" s="19"/>
    </row>
    <row r="21" spans="2:37" ht="15" customHeight="1">
      <c r="B21" s="134"/>
      <c r="C21" s="94"/>
      <c r="D21" s="8"/>
      <c r="E21" s="121"/>
      <c r="F21" s="162"/>
      <c r="G21" s="158"/>
      <c r="H21" s="148"/>
      <c r="I21" s="148"/>
      <c r="J21" s="148"/>
      <c r="K21" s="148"/>
      <c r="L21" s="148"/>
      <c r="M21" s="151"/>
      <c r="N21" s="15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51"/>
      <c r="AC21" s="55"/>
      <c r="AD21" s="7"/>
      <c r="AE21" s="7"/>
      <c r="AF21" s="7"/>
      <c r="AG21" s="7"/>
      <c r="AH21" s="7" t="s">
        <v>3</v>
      </c>
    </row>
    <row r="22" spans="2:37" ht="15" customHeight="1">
      <c r="B22" s="134"/>
      <c r="C22" s="94"/>
      <c r="D22" s="8"/>
      <c r="E22" s="120"/>
      <c r="F22" s="158"/>
      <c r="G22" s="158"/>
      <c r="H22" s="148"/>
      <c r="I22" s="148"/>
      <c r="J22" s="148"/>
      <c r="K22" s="148"/>
      <c r="L22" s="148"/>
      <c r="M22" s="151"/>
      <c r="N22" s="15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51"/>
      <c r="AC22" s="56"/>
      <c r="AD22" s="21"/>
      <c r="AE22" s="21"/>
      <c r="AF22" s="21"/>
      <c r="AG22" s="21"/>
      <c r="AH22" s="19"/>
    </row>
    <row r="23" spans="2:37" ht="15" customHeight="1">
      <c r="B23" s="134"/>
      <c r="C23" s="94"/>
      <c r="D23" s="85"/>
      <c r="E23" s="121"/>
      <c r="F23" s="162"/>
      <c r="G23" s="158"/>
      <c r="H23" s="148"/>
      <c r="I23" s="148"/>
      <c r="J23" s="148"/>
      <c r="K23" s="148"/>
      <c r="L23" s="148"/>
      <c r="M23" s="151"/>
      <c r="N23" s="162"/>
      <c r="O23" s="148"/>
      <c r="P23" s="148"/>
      <c r="Q23" s="148"/>
      <c r="R23" s="148"/>
      <c r="S23" s="148"/>
      <c r="T23" s="148"/>
      <c r="U23" s="146"/>
      <c r="V23" s="146"/>
      <c r="W23" s="146"/>
      <c r="X23" s="146"/>
      <c r="Y23" s="146"/>
      <c r="Z23" s="146"/>
      <c r="AA23" s="146"/>
      <c r="AB23" s="163"/>
      <c r="AC23" s="55"/>
      <c r="AD23" s="7"/>
      <c r="AE23" s="7"/>
      <c r="AF23" s="7"/>
      <c r="AG23" s="7"/>
      <c r="AH23" s="7"/>
    </row>
    <row r="24" spans="2:37" ht="15" customHeight="1">
      <c r="B24" s="134"/>
      <c r="C24" s="94"/>
      <c r="D24" s="85"/>
      <c r="E24" s="121"/>
      <c r="F24" s="162"/>
      <c r="G24" s="158"/>
      <c r="H24" s="148"/>
      <c r="I24" s="148"/>
      <c r="J24" s="148"/>
      <c r="K24" s="148"/>
      <c r="L24" s="148"/>
      <c r="M24" s="151"/>
      <c r="N24" s="15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51"/>
      <c r="AC24" s="55"/>
      <c r="AD24" s="7"/>
      <c r="AE24" s="7"/>
      <c r="AF24" s="7"/>
      <c r="AG24" s="7"/>
      <c r="AH24" s="7" t="s">
        <v>3</v>
      </c>
    </row>
    <row r="25" spans="2:37" ht="15" customHeight="1">
      <c r="B25" s="134"/>
      <c r="C25" s="95"/>
      <c r="D25" s="85"/>
      <c r="E25" s="121"/>
      <c r="F25" s="162"/>
      <c r="G25" s="158"/>
      <c r="H25" s="148"/>
      <c r="I25" s="148"/>
      <c r="J25" s="148"/>
      <c r="K25" s="148"/>
      <c r="L25" s="148"/>
      <c r="M25" s="151"/>
      <c r="N25" s="15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51"/>
      <c r="AC25" s="55"/>
      <c r="AD25" s="7"/>
      <c r="AE25" s="7"/>
      <c r="AF25" s="7"/>
      <c r="AG25" s="7"/>
      <c r="AH25" s="7"/>
    </row>
    <row r="26" spans="2:37" ht="15" customHeight="1">
      <c r="B26" s="134"/>
      <c r="C26" s="94"/>
      <c r="D26" s="8"/>
      <c r="E26" s="120"/>
      <c r="F26" s="158"/>
      <c r="G26" s="158"/>
      <c r="H26" s="148"/>
      <c r="I26" s="148"/>
      <c r="J26" s="148"/>
      <c r="K26" s="148"/>
      <c r="L26" s="148"/>
      <c r="M26" s="151"/>
      <c r="N26" s="162"/>
      <c r="O26" s="148"/>
      <c r="P26" s="148"/>
      <c r="Q26" s="148"/>
      <c r="R26" s="148"/>
      <c r="S26" s="148"/>
      <c r="T26" s="148"/>
      <c r="U26" s="146"/>
      <c r="V26" s="146"/>
      <c r="W26" s="146"/>
      <c r="X26" s="146"/>
      <c r="Y26" s="146"/>
      <c r="Z26" s="146"/>
      <c r="AA26" s="146"/>
      <c r="AB26" s="163"/>
      <c r="AC26" s="60"/>
      <c r="AD26" s="20"/>
      <c r="AE26" s="20"/>
      <c r="AF26" s="20"/>
      <c r="AG26" s="20"/>
      <c r="AH26" s="20">
        <v>2</v>
      </c>
    </row>
    <row r="27" spans="2:37" ht="15" customHeight="1">
      <c r="B27" s="134"/>
      <c r="C27" s="94"/>
      <c r="D27" s="8"/>
      <c r="E27" s="122"/>
      <c r="F27" s="162"/>
      <c r="G27" s="158"/>
      <c r="H27" s="148"/>
      <c r="I27" s="148"/>
      <c r="J27" s="148"/>
      <c r="K27" s="148"/>
      <c r="L27" s="148"/>
      <c r="M27" s="151"/>
      <c r="N27" s="162"/>
      <c r="O27" s="148"/>
      <c r="P27" s="148"/>
      <c r="Q27" s="148"/>
      <c r="R27" s="148"/>
      <c r="S27" s="148"/>
      <c r="T27" s="148"/>
      <c r="U27" s="146"/>
      <c r="V27" s="146"/>
      <c r="W27" s="146"/>
      <c r="X27" s="146"/>
      <c r="Y27" s="146"/>
      <c r="Z27" s="146"/>
      <c r="AA27" s="146"/>
      <c r="AB27" s="163"/>
      <c r="AC27" s="56"/>
      <c r="AD27" s="21"/>
      <c r="AE27" s="21"/>
      <c r="AF27" s="21"/>
      <c r="AG27" s="21"/>
      <c r="AH27" s="19"/>
    </row>
    <row r="28" spans="2:37" ht="15" customHeight="1">
      <c r="B28" s="134"/>
      <c r="C28" s="94"/>
      <c r="D28" s="8"/>
      <c r="E28" s="122"/>
      <c r="F28" s="158"/>
      <c r="G28" s="158"/>
      <c r="H28" s="148"/>
      <c r="I28" s="148"/>
      <c r="J28" s="148"/>
      <c r="K28" s="148"/>
      <c r="L28" s="148"/>
      <c r="M28" s="151"/>
      <c r="N28" s="162"/>
      <c r="O28" s="148"/>
      <c r="P28" s="148"/>
      <c r="Q28" s="148"/>
      <c r="R28" s="148"/>
      <c r="S28" s="148"/>
      <c r="T28" s="148"/>
      <c r="U28" s="146"/>
      <c r="V28" s="146"/>
      <c r="W28" s="146"/>
      <c r="X28" s="146"/>
      <c r="Y28" s="146"/>
      <c r="Z28" s="146"/>
      <c r="AA28" s="146"/>
      <c r="AB28" s="163"/>
      <c r="AC28" s="56"/>
      <c r="AD28" s="21"/>
      <c r="AE28" s="21"/>
      <c r="AF28" s="21"/>
      <c r="AG28" s="21"/>
      <c r="AH28" s="19"/>
    </row>
    <row r="29" spans="2:37" ht="15" customHeight="1">
      <c r="B29" s="134"/>
      <c r="C29" s="94"/>
      <c r="D29" s="8"/>
      <c r="E29" s="120"/>
      <c r="F29" s="158"/>
      <c r="G29" s="158"/>
      <c r="H29" s="148"/>
      <c r="I29" s="148"/>
      <c r="J29" s="148"/>
      <c r="K29" s="148"/>
      <c r="L29" s="148"/>
      <c r="M29" s="151"/>
      <c r="N29" s="162"/>
      <c r="O29" s="148"/>
      <c r="P29" s="148"/>
      <c r="Q29" s="148"/>
      <c r="R29" s="148"/>
      <c r="S29" s="148"/>
      <c r="T29" s="148"/>
      <c r="U29" s="146"/>
      <c r="V29" s="146"/>
      <c r="W29" s="146"/>
      <c r="X29" s="146"/>
      <c r="Y29" s="146"/>
      <c r="Z29" s="146"/>
      <c r="AA29" s="146"/>
      <c r="AB29" s="163"/>
      <c r="AC29" s="56"/>
      <c r="AD29" s="21"/>
      <c r="AE29" s="21"/>
      <c r="AF29" s="21"/>
      <c r="AG29" s="21"/>
      <c r="AH29" s="21"/>
    </row>
    <row r="30" spans="2:37" ht="15" customHeight="1">
      <c r="B30" s="134"/>
      <c r="C30" s="94"/>
      <c r="D30" s="8"/>
      <c r="E30" s="119"/>
      <c r="F30" s="162"/>
      <c r="G30" s="162"/>
      <c r="H30" s="148"/>
      <c r="I30" s="148"/>
      <c r="J30" s="148"/>
      <c r="K30" s="148"/>
      <c r="L30" s="148"/>
      <c r="M30" s="151"/>
      <c r="N30" s="162"/>
      <c r="O30" s="148"/>
      <c r="P30" s="148"/>
      <c r="Q30" s="148"/>
      <c r="R30" s="148"/>
      <c r="S30" s="148"/>
      <c r="T30" s="148"/>
      <c r="U30" s="146"/>
      <c r="V30" s="146"/>
      <c r="W30" s="146"/>
      <c r="X30" s="146"/>
      <c r="Y30" s="146"/>
      <c r="Z30" s="146"/>
      <c r="AA30" s="146"/>
      <c r="AB30" s="163"/>
      <c r="AC30" s="56"/>
      <c r="AD30" s="21"/>
      <c r="AE30" s="21"/>
      <c r="AF30" s="21"/>
      <c r="AG30" s="21"/>
      <c r="AH30" s="19"/>
    </row>
    <row r="31" spans="2:37" ht="15" customHeight="1">
      <c r="B31" s="134"/>
      <c r="C31" s="94"/>
      <c r="D31" s="8"/>
      <c r="E31" s="120"/>
      <c r="F31" s="165"/>
      <c r="G31" s="165"/>
      <c r="H31" s="166"/>
      <c r="I31" s="166"/>
      <c r="J31" s="166"/>
      <c r="K31" s="166"/>
      <c r="L31" s="166"/>
      <c r="M31" s="167"/>
      <c r="N31" s="168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70"/>
      <c r="AC31" s="55"/>
      <c r="AD31" s="7"/>
      <c r="AE31" s="7"/>
      <c r="AF31" s="7"/>
      <c r="AG31" s="7"/>
      <c r="AH31" s="7"/>
    </row>
    <row r="32" spans="2:37" ht="15" customHeight="1">
      <c r="B32" s="134"/>
      <c r="C32" s="94"/>
      <c r="D32" s="8"/>
      <c r="E32" s="120"/>
      <c r="F32" s="162"/>
      <c r="G32" s="162"/>
      <c r="H32" s="148"/>
      <c r="I32" s="148"/>
      <c r="J32" s="148"/>
      <c r="K32" s="148"/>
      <c r="L32" s="148"/>
      <c r="M32" s="151"/>
      <c r="N32" s="15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51"/>
      <c r="AC32" s="55"/>
      <c r="AD32" s="7"/>
      <c r="AE32" s="7"/>
      <c r="AF32" s="7"/>
      <c r="AG32" s="7"/>
      <c r="AH32" s="7"/>
    </row>
    <row r="33" spans="2:34" ht="15" customHeight="1">
      <c r="B33" s="134"/>
      <c r="C33" s="94"/>
      <c r="D33" s="8"/>
      <c r="E33" s="120"/>
      <c r="F33" s="158"/>
      <c r="G33" s="158"/>
      <c r="H33" s="148"/>
      <c r="I33" s="148"/>
      <c r="J33" s="148"/>
      <c r="K33" s="148"/>
      <c r="L33" s="148"/>
      <c r="M33" s="151"/>
      <c r="N33" s="15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51"/>
      <c r="AC33" s="55"/>
      <c r="AD33" s="7"/>
      <c r="AE33" s="7"/>
      <c r="AF33" s="7"/>
      <c r="AG33" s="7"/>
      <c r="AH33" s="7" t="s">
        <v>3</v>
      </c>
    </row>
    <row r="34" spans="2:34" ht="15" customHeight="1">
      <c r="B34" s="134"/>
      <c r="C34" s="94"/>
      <c r="D34" s="8"/>
      <c r="E34" s="120"/>
      <c r="F34" s="158"/>
      <c r="G34" s="158"/>
      <c r="H34" s="148"/>
      <c r="I34" s="148"/>
      <c r="J34" s="148"/>
      <c r="K34" s="148"/>
      <c r="L34" s="148"/>
      <c r="M34" s="151"/>
      <c r="N34" s="15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51"/>
      <c r="AC34" s="55"/>
      <c r="AD34" s="7"/>
      <c r="AE34" s="7"/>
      <c r="AF34" s="7"/>
      <c r="AG34" s="7"/>
      <c r="AH34" s="7"/>
    </row>
    <row r="35" spans="2:34" ht="15" customHeight="1">
      <c r="B35" s="134"/>
      <c r="C35" s="94"/>
      <c r="D35" s="8"/>
      <c r="E35" s="120"/>
      <c r="F35" s="162"/>
      <c r="G35" s="162"/>
      <c r="H35" s="148"/>
      <c r="I35" s="148"/>
      <c r="J35" s="148"/>
      <c r="K35" s="148"/>
      <c r="L35" s="148"/>
      <c r="M35" s="151"/>
      <c r="N35" s="15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51"/>
      <c r="AC35" s="55"/>
      <c r="AD35" s="7"/>
      <c r="AE35" s="7"/>
      <c r="AF35" s="7"/>
      <c r="AG35" s="7"/>
      <c r="AH35" s="7"/>
    </row>
    <row r="36" spans="2:34" ht="15" customHeight="1">
      <c r="B36" s="134"/>
      <c r="C36" s="94"/>
      <c r="D36" s="8"/>
      <c r="E36" s="120"/>
      <c r="F36" s="158"/>
      <c r="G36" s="158"/>
      <c r="H36" s="148"/>
      <c r="I36" s="148"/>
      <c r="J36" s="148"/>
      <c r="K36" s="148"/>
      <c r="L36" s="148"/>
      <c r="M36" s="151"/>
      <c r="N36" s="15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51"/>
      <c r="AC36" s="55"/>
      <c r="AD36" s="7"/>
      <c r="AE36" s="7"/>
      <c r="AF36" s="7"/>
      <c r="AG36" s="7"/>
      <c r="AH36" s="7" t="s">
        <v>3</v>
      </c>
    </row>
    <row r="37" spans="2:34" ht="15" customHeight="1">
      <c r="B37" s="134"/>
      <c r="C37" s="94"/>
      <c r="D37" s="8"/>
      <c r="E37" s="120"/>
      <c r="F37" s="158"/>
      <c r="G37" s="158"/>
      <c r="H37" s="148"/>
      <c r="I37" s="148"/>
      <c r="J37" s="148"/>
      <c r="K37" s="148"/>
      <c r="L37" s="148"/>
      <c r="M37" s="151"/>
      <c r="N37" s="15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51"/>
      <c r="AC37" s="55"/>
      <c r="AD37" s="7"/>
      <c r="AE37" s="7"/>
      <c r="AF37" s="7"/>
      <c r="AG37" s="7"/>
      <c r="AH37" s="7"/>
    </row>
    <row r="38" spans="2:34" ht="15" customHeight="1">
      <c r="B38" s="134"/>
      <c r="C38" s="94"/>
      <c r="D38" s="8"/>
      <c r="E38" s="113"/>
      <c r="F38" s="165"/>
      <c r="G38" s="165"/>
      <c r="H38" s="148"/>
      <c r="I38" s="148"/>
      <c r="J38" s="148"/>
      <c r="K38" s="148"/>
      <c r="L38" s="148"/>
      <c r="M38" s="151"/>
      <c r="N38" s="15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51"/>
      <c r="AC38" s="55"/>
      <c r="AD38" s="7"/>
      <c r="AE38" s="7"/>
      <c r="AF38" s="7"/>
      <c r="AG38" s="7"/>
      <c r="AH38" s="7"/>
    </row>
    <row r="39" spans="2:34" ht="15" customHeight="1">
      <c r="B39" s="134"/>
      <c r="C39" s="94"/>
      <c r="D39" s="8"/>
      <c r="E39" s="120"/>
      <c r="F39" s="165"/>
      <c r="G39" s="165"/>
      <c r="H39" s="166"/>
      <c r="I39" s="166"/>
      <c r="J39" s="166"/>
      <c r="K39" s="166"/>
      <c r="L39" s="166"/>
      <c r="M39" s="167"/>
      <c r="N39" s="168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70"/>
      <c r="AC39" s="55"/>
      <c r="AD39" s="7"/>
      <c r="AE39" s="7"/>
      <c r="AF39" s="7"/>
      <c r="AG39" s="7"/>
      <c r="AH39" s="7"/>
    </row>
    <row r="40" spans="2:34" s="5" customFormat="1" ht="15" customHeight="1">
      <c r="B40" s="134"/>
      <c r="C40" s="94"/>
      <c r="D40" s="8"/>
      <c r="E40" s="120"/>
      <c r="F40" s="165"/>
      <c r="G40" s="165"/>
      <c r="H40" s="166"/>
      <c r="I40" s="166"/>
      <c r="J40" s="166"/>
      <c r="K40" s="166"/>
      <c r="L40" s="166"/>
      <c r="M40" s="167"/>
      <c r="N40" s="168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70"/>
      <c r="AC40" s="61"/>
      <c r="AD40" s="16"/>
      <c r="AE40" s="16"/>
      <c r="AF40" s="16"/>
      <c r="AG40" s="16"/>
      <c r="AH40" s="16" t="s">
        <v>3</v>
      </c>
    </row>
    <row r="41" spans="2:34" ht="15" customHeight="1">
      <c r="B41" s="134"/>
      <c r="C41" s="94"/>
      <c r="D41" s="109"/>
      <c r="E41" s="120"/>
      <c r="F41" s="158"/>
      <c r="G41" s="158"/>
      <c r="H41" s="148"/>
      <c r="I41" s="148"/>
      <c r="J41" s="148"/>
      <c r="K41" s="148"/>
      <c r="L41" s="148"/>
      <c r="M41" s="151"/>
      <c r="N41" s="15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51"/>
      <c r="AC41" s="55"/>
      <c r="AD41" s="7"/>
      <c r="AE41" s="7"/>
      <c r="AF41" s="7"/>
      <c r="AG41" s="7"/>
      <c r="AH41" s="7"/>
    </row>
    <row r="42" spans="2:34" ht="15" customHeight="1">
      <c r="B42" s="134"/>
      <c r="C42" s="94"/>
      <c r="D42" s="85"/>
      <c r="E42" s="121"/>
      <c r="F42" s="162"/>
      <c r="G42" s="162"/>
      <c r="H42" s="148"/>
      <c r="I42" s="148"/>
      <c r="J42" s="148"/>
      <c r="K42" s="148"/>
      <c r="L42" s="148"/>
      <c r="M42" s="151"/>
      <c r="N42" s="162"/>
      <c r="O42" s="148"/>
      <c r="P42" s="148"/>
      <c r="Q42" s="148"/>
      <c r="R42" s="148"/>
      <c r="S42" s="148"/>
      <c r="T42" s="148"/>
      <c r="U42" s="146"/>
      <c r="V42" s="146"/>
      <c r="W42" s="146"/>
      <c r="X42" s="146"/>
      <c r="Y42" s="146"/>
      <c r="Z42" s="146"/>
      <c r="AA42" s="146"/>
      <c r="AB42" s="163"/>
      <c r="AC42" s="55"/>
      <c r="AD42" s="7"/>
      <c r="AE42" s="7"/>
      <c r="AF42" s="7"/>
      <c r="AG42" s="7"/>
      <c r="AH42" s="7"/>
    </row>
    <row r="43" spans="2:34" ht="15" customHeight="1">
      <c r="B43" s="134"/>
      <c r="C43" s="94"/>
      <c r="D43" s="8"/>
      <c r="E43" s="120"/>
      <c r="F43" s="158"/>
      <c r="G43" s="158"/>
      <c r="H43" s="148"/>
      <c r="I43" s="148"/>
      <c r="J43" s="148"/>
      <c r="K43" s="148"/>
      <c r="L43" s="148"/>
      <c r="M43" s="151"/>
      <c r="N43" s="15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51"/>
      <c r="AC43" s="55"/>
      <c r="AD43" s="7"/>
      <c r="AE43" s="7"/>
      <c r="AF43" s="7"/>
      <c r="AG43" s="7"/>
      <c r="AH43" s="7"/>
    </row>
    <row r="44" spans="2:34" ht="15" customHeight="1">
      <c r="B44" s="134"/>
      <c r="C44" s="94"/>
      <c r="D44" s="8"/>
      <c r="E44" s="120"/>
      <c r="F44" s="158"/>
      <c r="G44" s="158"/>
      <c r="H44" s="148"/>
      <c r="I44" s="148"/>
      <c r="J44" s="148"/>
      <c r="K44" s="148"/>
      <c r="L44" s="148"/>
      <c r="M44" s="151"/>
      <c r="N44" s="15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51"/>
      <c r="AC44" s="55"/>
      <c r="AD44" s="7"/>
      <c r="AE44" s="7"/>
      <c r="AF44" s="7"/>
      <c r="AG44" s="7"/>
      <c r="AH44" s="7"/>
    </row>
    <row r="45" spans="2:34" ht="15" customHeight="1">
      <c r="B45" s="134"/>
      <c r="C45" s="94"/>
      <c r="D45" s="8"/>
      <c r="E45" s="120"/>
      <c r="F45" s="158"/>
      <c r="G45" s="158"/>
      <c r="H45" s="148"/>
      <c r="I45" s="148"/>
      <c r="J45" s="148"/>
      <c r="K45" s="148"/>
      <c r="L45" s="148"/>
      <c r="M45" s="151"/>
      <c r="N45" s="15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51"/>
      <c r="AC45" s="55"/>
      <c r="AD45" s="7"/>
      <c r="AE45" s="7"/>
      <c r="AF45" s="7"/>
      <c r="AG45" s="7"/>
      <c r="AH45" s="7"/>
    </row>
    <row r="46" spans="2:34" ht="15" customHeight="1">
      <c r="B46" s="134"/>
      <c r="C46" s="94"/>
      <c r="D46" s="8"/>
      <c r="E46" s="120"/>
      <c r="F46" s="158"/>
      <c r="G46" s="158"/>
      <c r="H46" s="148"/>
      <c r="I46" s="148"/>
      <c r="J46" s="148"/>
      <c r="K46" s="148"/>
      <c r="L46" s="148"/>
      <c r="M46" s="151"/>
      <c r="N46" s="15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51"/>
      <c r="AC46" s="55"/>
      <c r="AD46" s="7"/>
      <c r="AE46" s="7"/>
      <c r="AF46" s="7"/>
      <c r="AG46" s="7"/>
      <c r="AH46" s="7"/>
    </row>
    <row r="47" spans="2:34" ht="15" customHeight="1">
      <c r="B47" s="134"/>
      <c r="C47" s="94"/>
      <c r="D47" s="8"/>
      <c r="E47" s="120"/>
      <c r="F47" s="158"/>
      <c r="G47" s="158"/>
      <c r="H47" s="148"/>
      <c r="I47" s="148"/>
      <c r="J47" s="148"/>
      <c r="K47" s="148"/>
      <c r="L47" s="148"/>
      <c r="M47" s="151"/>
      <c r="N47" s="15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51"/>
      <c r="AC47" s="55"/>
      <c r="AD47" s="7"/>
      <c r="AE47" s="7"/>
      <c r="AF47" s="7"/>
      <c r="AG47" s="7"/>
      <c r="AH47" s="7"/>
    </row>
    <row r="48" spans="2:34" ht="15" customHeight="1">
      <c r="B48" s="134"/>
      <c r="C48" s="94"/>
      <c r="D48" s="7"/>
      <c r="E48" s="120"/>
      <c r="F48" s="158"/>
      <c r="G48" s="158"/>
      <c r="H48" s="148"/>
      <c r="I48" s="148"/>
      <c r="J48" s="148"/>
      <c r="K48" s="148"/>
      <c r="L48" s="148"/>
      <c r="M48" s="151"/>
      <c r="N48" s="15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51"/>
      <c r="AC48" s="55"/>
      <c r="AD48" s="7"/>
      <c r="AE48" s="7"/>
      <c r="AF48" s="7"/>
      <c r="AG48" s="7"/>
      <c r="AH48" s="7"/>
    </row>
    <row r="49" spans="2:34" ht="15" customHeight="1">
      <c r="B49" s="134"/>
      <c r="C49" s="94"/>
      <c r="D49" s="8"/>
      <c r="E49" s="120"/>
      <c r="F49" s="158"/>
      <c r="G49" s="158"/>
      <c r="H49" s="148"/>
      <c r="I49" s="148"/>
      <c r="J49" s="148"/>
      <c r="K49" s="148"/>
      <c r="L49" s="148"/>
      <c r="M49" s="151"/>
      <c r="N49" s="15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51"/>
      <c r="AC49" s="55"/>
      <c r="AD49" s="7"/>
      <c r="AE49" s="7"/>
      <c r="AF49" s="7"/>
      <c r="AG49" s="7"/>
      <c r="AH49" s="7"/>
    </row>
    <row r="50" spans="2:34" ht="15" customHeight="1">
      <c r="B50" s="134"/>
      <c r="C50" s="94"/>
      <c r="D50" s="8"/>
      <c r="E50" s="123"/>
      <c r="F50" s="158"/>
      <c r="G50" s="153"/>
      <c r="H50" s="148"/>
      <c r="I50" s="148"/>
      <c r="J50" s="148"/>
      <c r="K50" s="148"/>
      <c r="L50" s="148"/>
      <c r="M50" s="151"/>
      <c r="N50" s="15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51"/>
      <c r="AC50" s="55"/>
      <c r="AD50" s="7"/>
      <c r="AE50" s="7"/>
      <c r="AF50" s="7"/>
      <c r="AG50" s="7"/>
      <c r="AH50" s="7"/>
    </row>
    <row r="51" spans="2:34" ht="15" customHeight="1">
      <c r="B51" s="134"/>
      <c r="C51" s="94"/>
      <c r="D51" s="8"/>
      <c r="E51" s="122"/>
      <c r="F51" s="158"/>
      <c r="G51" s="158"/>
      <c r="H51" s="148"/>
      <c r="I51" s="148"/>
      <c r="J51" s="148"/>
      <c r="K51" s="148"/>
      <c r="L51" s="148"/>
      <c r="M51" s="151"/>
      <c r="N51" s="15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51"/>
      <c r="AC51" s="55"/>
      <c r="AD51" s="7"/>
      <c r="AE51" s="7"/>
      <c r="AF51" s="7"/>
      <c r="AG51" s="7"/>
      <c r="AH51" s="7"/>
    </row>
    <row r="52" spans="2:34" ht="15" customHeight="1">
      <c r="B52" s="134"/>
      <c r="C52" s="94"/>
      <c r="D52" s="8"/>
      <c r="E52" s="120"/>
      <c r="F52" s="158"/>
      <c r="G52" s="158"/>
      <c r="H52" s="148"/>
      <c r="I52" s="148"/>
      <c r="J52" s="148"/>
      <c r="K52" s="148"/>
      <c r="L52" s="148"/>
      <c r="M52" s="151"/>
      <c r="N52" s="15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51"/>
      <c r="AC52" s="55"/>
      <c r="AD52" s="7"/>
      <c r="AE52" s="7"/>
      <c r="AF52" s="7"/>
      <c r="AG52" s="7"/>
      <c r="AH52" s="7"/>
    </row>
    <row r="53" spans="2:34" ht="15" customHeight="1">
      <c r="B53" s="134"/>
      <c r="C53" s="94"/>
      <c r="D53" s="8"/>
      <c r="E53" s="120"/>
      <c r="F53" s="158"/>
      <c r="G53" s="158"/>
      <c r="H53" s="148"/>
      <c r="I53" s="148"/>
      <c r="J53" s="148"/>
      <c r="K53" s="148"/>
      <c r="L53" s="148"/>
      <c r="M53" s="151"/>
      <c r="N53" s="15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51"/>
      <c r="AC53" s="55"/>
      <c r="AD53" s="7"/>
      <c r="AE53" s="7"/>
      <c r="AF53" s="7"/>
      <c r="AG53" s="7"/>
      <c r="AH53" s="7"/>
    </row>
    <row r="54" spans="2:34" ht="15" customHeight="1">
      <c r="B54" s="134"/>
      <c r="C54" s="94"/>
      <c r="D54" s="8"/>
      <c r="E54" s="120"/>
      <c r="F54" s="153"/>
      <c r="G54" s="153"/>
      <c r="H54" s="148"/>
      <c r="I54" s="148"/>
      <c r="J54" s="148"/>
      <c r="K54" s="148"/>
      <c r="L54" s="148"/>
      <c r="M54" s="151"/>
      <c r="N54" s="15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51"/>
      <c r="AC54" s="55"/>
      <c r="AD54" s="7"/>
      <c r="AE54" s="7"/>
      <c r="AF54" s="7"/>
      <c r="AG54" s="7"/>
      <c r="AH54" s="7"/>
    </row>
    <row r="55" spans="2:34" ht="15" customHeight="1">
      <c r="B55" s="134"/>
      <c r="C55" s="94"/>
      <c r="D55" s="8"/>
      <c r="E55" s="120"/>
      <c r="F55" s="158"/>
      <c r="G55" s="158"/>
      <c r="H55" s="148"/>
      <c r="I55" s="148"/>
      <c r="J55" s="148"/>
      <c r="K55" s="148"/>
      <c r="L55" s="148"/>
      <c r="M55" s="151"/>
      <c r="N55" s="15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51"/>
      <c r="AC55" s="55"/>
      <c r="AD55" s="7"/>
      <c r="AE55" s="7"/>
      <c r="AF55" s="7"/>
      <c r="AG55" s="7"/>
      <c r="AH55" s="7"/>
    </row>
    <row r="56" spans="2:34" ht="15" customHeight="1">
      <c r="B56" s="134"/>
      <c r="C56" s="94"/>
      <c r="D56" s="8"/>
      <c r="E56" s="120"/>
      <c r="F56" s="158"/>
      <c r="G56" s="172"/>
      <c r="H56" s="148"/>
      <c r="I56" s="148"/>
      <c r="J56" s="148"/>
      <c r="K56" s="148"/>
      <c r="L56" s="148"/>
      <c r="M56" s="151"/>
      <c r="N56" s="15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51"/>
      <c r="AC56" s="55"/>
      <c r="AD56" s="7"/>
      <c r="AE56" s="7"/>
      <c r="AF56" s="7"/>
      <c r="AG56" s="7"/>
      <c r="AH56" s="7"/>
    </row>
    <row r="57" spans="2:34" ht="15" customHeight="1">
      <c r="B57" s="134"/>
      <c r="C57" s="94"/>
      <c r="D57" s="8"/>
      <c r="E57" s="120"/>
      <c r="F57" s="191"/>
      <c r="G57" s="158"/>
      <c r="H57" s="148"/>
      <c r="I57" s="148"/>
      <c r="J57" s="148"/>
      <c r="K57" s="148"/>
      <c r="L57" s="148"/>
      <c r="M57" s="151"/>
      <c r="N57" s="15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51"/>
      <c r="AC57" s="55"/>
      <c r="AD57" s="7"/>
      <c r="AE57" s="7"/>
      <c r="AF57" s="7"/>
      <c r="AG57" s="7"/>
      <c r="AH57" s="7"/>
    </row>
    <row r="58" spans="2:34" ht="15" customHeight="1">
      <c r="B58" s="134"/>
      <c r="C58" s="94"/>
      <c r="D58" s="8"/>
      <c r="E58" s="124"/>
      <c r="F58" s="158"/>
      <c r="G58" s="158"/>
      <c r="H58" s="148"/>
      <c r="I58" s="148"/>
      <c r="J58" s="148"/>
      <c r="K58" s="148"/>
      <c r="L58" s="148"/>
      <c r="M58" s="151"/>
      <c r="N58" s="15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51"/>
      <c r="AC58" s="55"/>
      <c r="AD58" s="7"/>
      <c r="AE58" s="7"/>
      <c r="AF58" s="7"/>
      <c r="AG58" s="7"/>
      <c r="AH58" s="7"/>
    </row>
    <row r="59" spans="2:34" ht="15" customHeight="1">
      <c r="B59" s="134"/>
      <c r="C59" s="94"/>
      <c r="D59" s="8"/>
      <c r="E59" s="124"/>
      <c r="F59" s="158"/>
      <c r="G59" s="158"/>
      <c r="H59" s="148"/>
      <c r="I59" s="148"/>
      <c r="J59" s="148"/>
      <c r="K59" s="148"/>
      <c r="L59" s="148"/>
      <c r="M59" s="151"/>
      <c r="N59" s="158"/>
      <c r="O59" s="148"/>
      <c r="P59" s="148"/>
      <c r="Q59" s="148"/>
      <c r="R59" s="148"/>
      <c r="S59" s="148"/>
      <c r="T59" s="148"/>
      <c r="U59" s="158"/>
      <c r="V59" s="148"/>
      <c r="W59" s="148"/>
      <c r="X59" s="148"/>
      <c r="Y59" s="148"/>
      <c r="Z59" s="148"/>
      <c r="AA59" s="148"/>
      <c r="AB59" s="189"/>
      <c r="AC59" s="55"/>
      <c r="AD59" s="7"/>
      <c r="AE59" s="7"/>
      <c r="AF59" s="7"/>
      <c r="AG59" s="7"/>
      <c r="AH59" s="7"/>
    </row>
    <row r="60" spans="2:34" ht="15" customHeight="1">
      <c r="B60" s="134"/>
      <c r="C60" s="94"/>
      <c r="D60" s="8"/>
      <c r="E60" s="120"/>
      <c r="F60" s="158"/>
      <c r="G60" s="158"/>
      <c r="H60" s="148"/>
      <c r="I60" s="148"/>
      <c r="J60" s="148"/>
      <c r="K60" s="148"/>
      <c r="L60" s="148"/>
      <c r="M60" s="151"/>
      <c r="N60" s="15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51"/>
      <c r="AC60" s="55"/>
      <c r="AD60" s="7"/>
      <c r="AE60" s="7"/>
      <c r="AF60" s="7"/>
      <c r="AG60" s="7"/>
      <c r="AH60" s="7"/>
    </row>
    <row r="61" spans="2:34" ht="15" customHeight="1" thickBot="1">
      <c r="B61" s="190"/>
      <c r="C61" s="96"/>
      <c r="D61" s="50"/>
      <c r="E61" s="125"/>
      <c r="F61" s="112"/>
      <c r="G61" s="112"/>
      <c r="H61" s="51"/>
      <c r="I61" s="51"/>
      <c r="J61" s="51"/>
      <c r="K61" s="51"/>
      <c r="L61" s="51"/>
      <c r="M61" s="114"/>
      <c r="N61" s="112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8"/>
      <c r="AC61" s="55"/>
      <c r="AD61" s="7"/>
      <c r="AE61" s="7"/>
      <c r="AF61" s="7"/>
      <c r="AG61" s="7"/>
      <c r="AH61" s="7"/>
    </row>
    <row r="62" spans="2:34" ht="8.25" customHeight="1" thickBot="1">
      <c r="B62" s="45"/>
      <c r="C62" s="90"/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1"/>
      <c r="T62" s="91"/>
      <c r="U62" s="91"/>
      <c r="V62" s="91"/>
      <c r="W62" s="91"/>
      <c r="X62" s="91"/>
      <c r="Y62" s="91"/>
      <c r="Z62" s="91"/>
      <c r="AA62" s="91"/>
      <c r="AB62" s="92"/>
      <c r="AC62" s="54"/>
      <c r="AD62" s="11"/>
      <c r="AE62" s="11"/>
      <c r="AF62" s="11"/>
      <c r="AG62" s="11"/>
      <c r="AH62" s="11"/>
    </row>
    <row r="63" spans="2:34" ht="15" customHeight="1">
      <c r="B63" s="183" t="s">
        <v>30</v>
      </c>
      <c r="C63" s="48"/>
      <c r="D63" s="49"/>
      <c r="E63" s="193"/>
      <c r="F63" s="184"/>
      <c r="G63" s="184"/>
      <c r="H63" s="185"/>
      <c r="I63" s="185"/>
      <c r="J63" s="185"/>
      <c r="K63" s="185"/>
      <c r="L63" s="185"/>
      <c r="M63" s="185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59"/>
      <c r="AC63" s="56"/>
      <c r="AD63" s="21"/>
      <c r="AE63" s="21"/>
      <c r="AF63" s="21"/>
      <c r="AG63" s="21"/>
      <c r="AH63" s="21"/>
    </row>
    <row r="64" spans="2:34" ht="15" customHeight="1">
      <c r="B64" s="144"/>
      <c r="C64" s="3"/>
      <c r="D64" s="8"/>
      <c r="E64" s="194"/>
      <c r="F64" s="15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51"/>
      <c r="AC64" s="55"/>
      <c r="AD64" s="7"/>
      <c r="AE64" s="7"/>
      <c r="AF64" s="7"/>
      <c r="AG64" s="7"/>
      <c r="AH64" s="7" t="s">
        <v>3</v>
      </c>
    </row>
    <row r="65" spans="2:34" ht="15" customHeight="1">
      <c r="B65" s="144"/>
      <c r="C65" s="3"/>
      <c r="D65" s="8"/>
      <c r="E65" s="194"/>
      <c r="F65" s="15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51"/>
      <c r="AC65" s="57"/>
      <c r="AD65" s="17"/>
      <c r="AE65" s="17"/>
      <c r="AF65" s="17"/>
      <c r="AG65" s="17"/>
      <c r="AH65" s="17"/>
    </row>
    <row r="66" spans="2:34" ht="15" customHeight="1">
      <c r="B66" s="144"/>
      <c r="C66" s="3"/>
      <c r="D66" s="8"/>
      <c r="E66" s="194"/>
      <c r="F66" s="15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51"/>
      <c r="AC66" s="55"/>
      <c r="AD66" s="7"/>
      <c r="AE66" s="7"/>
      <c r="AF66" s="7"/>
      <c r="AG66" s="7"/>
      <c r="AH66" s="7"/>
    </row>
    <row r="67" spans="2:34" ht="15" customHeight="1">
      <c r="B67" s="144"/>
      <c r="C67" s="3"/>
      <c r="D67" s="8"/>
      <c r="E67" s="194"/>
      <c r="F67" s="15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51"/>
      <c r="AC67" s="55"/>
      <c r="AD67" s="7"/>
      <c r="AE67" s="7"/>
      <c r="AF67" s="7"/>
      <c r="AG67" s="7"/>
      <c r="AH67" s="7"/>
    </row>
    <row r="68" spans="2:34" ht="15" customHeight="1">
      <c r="B68" s="144"/>
      <c r="C68" s="3"/>
      <c r="D68" s="8"/>
      <c r="E68" s="195"/>
      <c r="F68" s="15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51"/>
      <c r="AC68" s="55"/>
      <c r="AD68" s="7"/>
      <c r="AE68" s="7"/>
      <c r="AF68" s="7"/>
      <c r="AG68" s="7"/>
      <c r="AH68" s="7"/>
    </row>
    <row r="69" spans="2:34" ht="15" customHeight="1" thickBot="1">
      <c r="B69" s="144"/>
      <c r="C69" s="3"/>
      <c r="D69" s="8"/>
      <c r="E69" s="195"/>
      <c r="F69" s="15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51"/>
      <c r="AC69" s="55"/>
      <c r="AD69" s="7"/>
      <c r="AE69" s="7"/>
      <c r="AF69" s="7"/>
      <c r="AG69" s="7"/>
      <c r="AH69" s="7"/>
    </row>
    <row r="70" spans="2:34" ht="15" customHeight="1">
      <c r="B70" s="144"/>
      <c r="C70" s="97"/>
      <c r="D70" s="98"/>
      <c r="E70" s="196"/>
      <c r="F70" s="153"/>
      <c r="G70" s="154"/>
      <c r="H70" s="147"/>
      <c r="I70" s="147"/>
      <c r="J70" s="147"/>
      <c r="K70" s="147"/>
      <c r="L70" s="147"/>
      <c r="M70" s="147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51"/>
      <c r="AC70" s="55"/>
      <c r="AD70" s="7"/>
      <c r="AE70" s="7"/>
      <c r="AF70" s="7"/>
      <c r="AG70" s="7"/>
      <c r="AH70" s="7"/>
    </row>
    <row r="71" spans="2:34" ht="15" customHeight="1">
      <c r="B71" s="144"/>
      <c r="C71" s="3"/>
      <c r="D71" s="8"/>
      <c r="E71" s="197"/>
      <c r="F71" s="15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51"/>
      <c r="AC71" s="55"/>
      <c r="AD71" s="7"/>
      <c r="AE71" s="7"/>
      <c r="AF71" s="7"/>
      <c r="AG71" s="7"/>
      <c r="AH71" s="7"/>
    </row>
    <row r="72" spans="2:34" ht="15" customHeight="1">
      <c r="B72" s="144"/>
      <c r="C72" s="3"/>
      <c r="D72" s="8"/>
      <c r="E72" s="198"/>
      <c r="F72" s="15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51"/>
      <c r="AC72" s="55"/>
      <c r="AD72" s="7"/>
      <c r="AE72" s="7"/>
      <c r="AF72" s="7"/>
      <c r="AG72" s="7"/>
      <c r="AH72" s="7"/>
    </row>
    <row r="73" spans="2:34" ht="15" customHeight="1">
      <c r="B73" s="144"/>
      <c r="C73" s="3"/>
      <c r="D73" s="8"/>
      <c r="E73" s="195"/>
      <c r="F73" s="15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51"/>
      <c r="AC73" s="55"/>
      <c r="AD73" s="7"/>
      <c r="AE73" s="7"/>
      <c r="AF73" s="7"/>
      <c r="AG73" s="7"/>
      <c r="AH73" s="7"/>
    </row>
    <row r="74" spans="2:34" ht="15" customHeight="1">
      <c r="B74" s="144"/>
      <c r="C74" s="3"/>
      <c r="D74" s="8"/>
      <c r="E74" s="195"/>
      <c r="F74" s="15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51"/>
      <c r="AC74" s="55"/>
      <c r="AD74" s="7"/>
      <c r="AE74" s="7"/>
      <c r="AF74" s="7"/>
      <c r="AG74" s="7"/>
      <c r="AH74" s="7"/>
    </row>
    <row r="75" spans="2:34" ht="15" customHeight="1">
      <c r="B75" s="144"/>
      <c r="C75" s="9"/>
      <c r="D75" s="8"/>
      <c r="E75" s="195"/>
      <c r="F75" s="15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51"/>
      <c r="AC75" s="55"/>
      <c r="AD75" s="7"/>
      <c r="AE75" s="7"/>
      <c r="AF75" s="7"/>
      <c r="AG75" s="7"/>
      <c r="AH75" s="7"/>
    </row>
    <row r="76" spans="2:34" ht="15" customHeight="1">
      <c r="B76" s="144"/>
      <c r="C76" s="3"/>
      <c r="D76" s="8"/>
      <c r="E76" s="195"/>
      <c r="F76" s="192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51"/>
      <c r="AC76" s="55"/>
      <c r="AD76" s="7"/>
      <c r="AE76" s="7"/>
      <c r="AF76" s="7"/>
      <c r="AG76" s="7"/>
      <c r="AH76" s="7"/>
    </row>
    <row r="77" spans="2:34" ht="15" customHeight="1">
      <c r="B77" s="144"/>
      <c r="C77" s="3"/>
      <c r="D77" s="8"/>
      <c r="E77" s="195"/>
      <c r="F77" s="192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51"/>
      <c r="AC77" s="55"/>
      <c r="AD77" s="7"/>
      <c r="AE77" s="7"/>
      <c r="AF77" s="7"/>
      <c r="AG77" s="7"/>
      <c r="AH77" s="7"/>
    </row>
    <row r="78" spans="2:34" ht="15" customHeight="1">
      <c r="B78" s="144"/>
      <c r="C78" s="3"/>
      <c r="D78" s="8"/>
      <c r="E78" s="195"/>
      <c r="F78" s="192"/>
      <c r="G78" s="155"/>
      <c r="H78" s="148"/>
      <c r="I78" s="148"/>
      <c r="J78" s="148"/>
      <c r="K78" s="148"/>
      <c r="L78" s="148"/>
      <c r="M78" s="148"/>
      <c r="N78" s="155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51"/>
      <c r="AC78" s="55"/>
      <c r="AD78" s="7"/>
      <c r="AE78" s="7"/>
      <c r="AF78" s="7"/>
      <c r="AG78" s="7"/>
      <c r="AH78" s="7"/>
    </row>
    <row r="79" spans="2:34" s="6" customFormat="1" ht="15" customHeight="1">
      <c r="B79" s="144"/>
      <c r="C79" s="3"/>
      <c r="D79" s="8"/>
      <c r="E79" s="197"/>
      <c r="F79" s="192"/>
      <c r="G79" s="155"/>
      <c r="H79" s="155"/>
      <c r="I79" s="155"/>
      <c r="J79" s="155"/>
      <c r="K79" s="155"/>
      <c r="L79" s="155"/>
      <c r="M79" s="155"/>
      <c r="N79" s="155"/>
      <c r="O79" s="155"/>
      <c r="P79" s="155"/>
      <c r="Q79" s="155"/>
      <c r="R79" s="155"/>
      <c r="S79" s="155"/>
      <c r="T79" s="155"/>
      <c r="U79" s="155"/>
      <c r="V79" s="155"/>
      <c r="W79" s="155"/>
      <c r="X79" s="155"/>
      <c r="Y79" s="155"/>
      <c r="Z79" s="155"/>
      <c r="AA79" s="155"/>
      <c r="AB79" s="156"/>
      <c r="AC79" s="58"/>
      <c r="AD79" s="18"/>
      <c r="AE79" s="18"/>
      <c r="AF79" s="18"/>
      <c r="AG79" s="18"/>
      <c r="AH79" s="18" t="s">
        <v>3</v>
      </c>
    </row>
    <row r="80" spans="2:34" ht="15" customHeight="1">
      <c r="B80" s="144"/>
      <c r="C80" s="3"/>
      <c r="D80" s="8"/>
      <c r="E80" s="199"/>
      <c r="F80" s="192"/>
      <c r="G80" s="155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51"/>
      <c r="AC80" s="55"/>
      <c r="AD80" s="7"/>
      <c r="AE80" s="7"/>
      <c r="AF80" s="7"/>
      <c r="AG80" s="7"/>
      <c r="AH80" s="7"/>
    </row>
    <row r="81" spans="2:34" ht="15" customHeight="1">
      <c r="B81" s="144"/>
      <c r="C81" s="3"/>
      <c r="D81" s="8"/>
      <c r="E81" s="197"/>
      <c r="F81" s="192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51"/>
      <c r="AC81" s="55"/>
      <c r="AD81" s="7"/>
      <c r="AE81" s="7"/>
      <c r="AF81" s="7"/>
      <c r="AG81" s="7"/>
      <c r="AH81" s="7"/>
    </row>
    <row r="82" spans="2:34" ht="15" customHeight="1">
      <c r="B82" s="144"/>
      <c r="C82" s="3"/>
      <c r="D82" s="8"/>
      <c r="E82" s="200"/>
      <c r="F82" s="192"/>
      <c r="G82" s="148"/>
      <c r="H82" s="148"/>
      <c r="I82" s="148"/>
      <c r="J82" s="148"/>
      <c r="K82" s="148"/>
      <c r="L82" s="148"/>
      <c r="M82" s="148"/>
      <c r="N82" s="155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51"/>
      <c r="AC82" s="55"/>
      <c r="AD82" s="7"/>
      <c r="AE82" s="7"/>
      <c r="AF82" s="7"/>
      <c r="AG82" s="7"/>
      <c r="AH82" s="7"/>
    </row>
    <row r="83" spans="2:34" ht="15" customHeight="1">
      <c r="B83" s="144"/>
      <c r="C83" s="3"/>
      <c r="D83" s="8"/>
      <c r="E83" s="201"/>
      <c r="F83" s="15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51"/>
      <c r="AC83" s="55"/>
      <c r="AD83" s="7"/>
      <c r="AE83" s="7"/>
      <c r="AF83" s="7"/>
      <c r="AG83" s="7"/>
      <c r="AH83" s="7"/>
    </row>
    <row r="84" spans="2:34" ht="15" customHeight="1">
      <c r="B84" s="144"/>
      <c r="C84" s="3"/>
      <c r="D84" s="8"/>
      <c r="E84" s="201"/>
      <c r="F84" s="15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51"/>
      <c r="AC84" s="55"/>
      <c r="AD84" s="7"/>
      <c r="AE84" s="7"/>
      <c r="AF84" s="7"/>
      <c r="AG84" s="7"/>
      <c r="AH84" s="7"/>
    </row>
    <row r="85" spans="2:34" ht="15" customHeight="1">
      <c r="B85" s="144"/>
      <c r="C85" s="3"/>
      <c r="D85" s="8"/>
      <c r="E85" s="202"/>
      <c r="F85" s="15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51"/>
      <c r="AC85" s="55"/>
      <c r="AD85" s="7"/>
      <c r="AE85" s="7"/>
      <c r="AF85" s="7"/>
      <c r="AG85" s="7"/>
      <c r="AH85" s="7"/>
    </row>
    <row r="86" spans="2:34" ht="15" customHeight="1">
      <c r="B86" s="144"/>
      <c r="C86" s="3"/>
      <c r="D86" s="8"/>
      <c r="E86" s="203"/>
      <c r="F86" s="15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51"/>
      <c r="AC86" s="55"/>
      <c r="AD86" s="7"/>
      <c r="AE86" s="7"/>
      <c r="AF86" s="7"/>
      <c r="AG86" s="7"/>
      <c r="AH86" s="7"/>
    </row>
    <row r="87" spans="2:34" ht="15" customHeight="1">
      <c r="B87" s="144"/>
      <c r="C87" s="3"/>
      <c r="D87" s="8"/>
      <c r="E87" s="203"/>
      <c r="F87" s="15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51"/>
      <c r="AC87" s="55"/>
      <c r="AD87" s="7"/>
      <c r="AE87" s="7"/>
      <c r="AF87" s="7"/>
      <c r="AG87" s="7"/>
      <c r="AH87" s="7"/>
    </row>
    <row r="88" spans="2:34" ht="15" customHeight="1">
      <c r="B88" s="144"/>
      <c r="C88" s="3"/>
      <c r="D88" s="8"/>
      <c r="E88" s="203"/>
      <c r="F88" s="15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51"/>
      <c r="AC88" s="56"/>
      <c r="AD88" s="21"/>
      <c r="AE88" s="21"/>
      <c r="AF88" s="21"/>
      <c r="AG88" s="21"/>
      <c r="AH88" s="19" t="s">
        <v>1</v>
      </c>
    </row>
    <row r="89" spans="2:34" ht="15" customHeight="1">
      <c r="B89" s="144"/>
      <c r="C89" s="3"/>
      <c r="D89" s="8"/>
      <c r="E89" s="197"/>
      <c r="F89" s="15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51"/>
      <c r="AC89" s="55"/>
      <c r="AD89" s="7"/>
      <c r="AE89" s="7"/>
      <c r="AF89" s="7"/>
      <c r="AG89" s="7"/>
      <c r="AH89" s="7"/>
    </row>
    <row r="90" spans="2:34" ht="15" customHeight="1">
      <c r="B90" s="144"/>
      <c r="C90" s="3"/>
      <c r="D90" s="8"/>
      <c r="E90" s="202"/>
      <c r="F90" s="15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51"/>
      <c r="AC90" s="55"/>
      <c r="AD90" s="7"/>
      <c r="AE90" s="7"/>
      <c r="AF90" s="7"/>
      <c r="AG90" s="7"/>
      <c r="AH90" s="7"/>
    </row>
    <row r="91" spans="2:34" ht="15" customHeight="1">
      <c r="B91" s="144"/>
      <c r="C91" s="3"/>
      <c r="D91" s="8"/>
      <c r="E91" s="203"/>
      <c r="F91" s="15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51"/>
      <c r="AC91" s="55"/>
      <c r="AD91" s="7"/>
      <c r="AE91" s="7"/>
      <c r="AF91" s="7"/>
      <c r="AG91" s="7"/>
      <c r="AH91" s="7"/>
    </row>
    <row r="92" spans="2:34" ht="15" customHeight="1">
      <c r="B92" s="144"/>
      <c r="C92" s="3"/>
      <c r="D92" s="8"/>
      <c r="E92" s="197"/>
      <c r="F92" s="15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51"/>
      <c r="AC92" s="55"/>
      <c r="AD92" s="7"/>
      <c r="AE92" s="7"/>
      <c r="AF92" s="7"/>
      <c r="AG92" s="7"/>
      <c r="AH92" s="7"/>
    </row>
    <row r="93" spans="2:34" ht="15" customHeight="1">
      <c r="B93" s="144"/>
      <c r="C93" s="3"/>
      <c r="D93" s="8"/>
      <c r="E93" s="197"/>
      <c r="F93" s="15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51"/>
      <c r="AC93" s="55"/>
      <c r="AD93" s="7"/>
      <c r="AE93" s="7"/>
      <c r="AF93" s="7"/>
      <c r="AG93" s="7"/>
      <c r="AH93" s="7"/>
    </row>
    <row r="94" spans="2:34" ht="15" customHeight="1">
      <c r="B94" s="144"/>
      <c r="C94" s="3"/>
      <c r="D94" s="8"/>
      <c r="E94" s="202"/>
      <c r="F94" s="15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51"/>
      <c r="AC94" s="55"/>
      <c r="AD94" s="7"/>
      <c r="AE94" s="7"/>
      <c r="AF94" s="7"/>
      <c r="AG94" s="7"/>
      <c r="AH94" s="7"/>
    </row>
    <row r="95" spans="2:34" ht="15" customHeight="1">
      <c r="B95" s="144"/>
      <c r="C95" s="3"/>
      <c r="D95" s="8"/>
      <c r="E95" s="194"/>
      <c r="F95" s="15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51"/>
      <c r="AC95" s="55"/>
      <c r="AD95" s="7"/>
      <c r="AE95" s="7"/>
      <c r="AF95" s="7"/>
      <c r="AG95" s="7"/>
      <c r="AH95" s="7"/>
    </row>
    <row r="96" spans="2:34" ht="15" customHeight="1">
      <c r="B96" s="144"/>
      <c r="C96" s="3"/>
      <c r="D96" s="8"/>
      <c r="E96" s="204"/>
      <c r="F96" s="15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51"/>
      <c r="AC96" s="55"/>
      <c r="AD96" s="7"/>
      <c r="AE96" s="7"/>
      <c r="AF96" s="7"/>
      <c r="AG96" s="7"/>
      <c r="AH96" s="7"/>
    </row>
    <row r="97" spans="2:34" ht="15" customHeight="1">
      <c r="B97" s="144"/>
      <c r="C97" s="3"/>
      <c r="D97" s="8"/>
      <c r="E97" s="204"/>
      <c r="F97" s="15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51"/>
      <c r="AC97" s="55"/>
      <c r="AD97" s="7"/>
      <c r="AE97" s="7"/>
      <c r="AF97" s="7"/>
      <c r="AG97" s="7"/>
      <c r="AH97" s="7"/>
    </row>
    <row r="98" spans="2:34" ht="15" customHeight="1">
      <c r="B98" s="144"/>
      <c r="C98" s="3"/>
      <c r="D98" s="8"/>
      <c r="E98" s="204"/>
      <c r="F98" s="15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51"/>
      <c r="AC98" s="55"/>
      <c r="AD98" s="7"/>
      <c r="AE98" s="7"/>
      <c r="AF98" s="7"/>
      <c r="AG98" s="7"/>
      <c r="AH98" s="7"/>
    </row>
    <row r="99" spans="2:34" ht="15" customHeight="1">
      <c r="B99" s="144"/>
      <c r="C99" s="3"/>
      <c r="D99" s="8"/>
      <c r="E99" s="204"/>
      <c r="F99" s="15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51"/>
      <c r="AC99" s="55"/>
      <c r="AD99" s="7"/>
      <c r="AE99" s="7"/>
      <c r="AF99" s="7"/>
      <c r="AG99" s="7"/>
      <c r="AH99" s="7"/>
    </row>
    <row r="100" spans="2:34" ht="15" customHeight="1">
      <c r="B100" s="144"/>
      <c r="C100" s="3"/>
      <c r="D100" s="8"/>
      <c r="E100" s="204"/>
      <c r="F100" s="15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50"/>
      <c r="W100" s="150"/>
      <c r="X100" s="150"/>
      <c r="Y100" s="150"/>
      <c r="Z100" s="150"/>
      <c r="AA100" s="150"/>
      <c r="AB100" s="151"/>
      <c r="AC100" s="52"/>
      <c r="AD100" s="30"/>
      <c r="AE100" s="30"/>
      <c r="AF100" s="30"/>
      <c r="AG100" s="30"/>
      <c r="AH100" s="30"/>
    </row>
    <row r="101" spans="2:34" ht="15" customHeight="1" thickBot="1">
      <c r="B101" s="186"/>
      <c r="C101" s="180"/>
      <c r="D101" s="50"/>
      <c r="E101" s="205"/>
      <c r="F101" s="17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81"/>
      <c r="W101" s="181"/>
      <c r="X101" s="181"/>
      <c r="Y101" s="181"/>
      <c r="Z101" s="181"/>
      <c r="AA101" s="181"/>
      <c r="AB101" s="182"/>
      <c r="AC101" s="52"/>
      <c r="AD101" s="30"/>
      <c r="AE101" s="30"/>
      <c r="AF101" s="30"/>
      <c r="AG101" s="30"/>
      <c r="AH101" s="26"/>
    </row>
    <row r="102" spans="2:34" ht="7.5" customHeight="1" thickBot="1"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7"/>
      <c r="AC102" s="35"/>
      <c r="AD102" s="44"/>
      <c r="AE102" s="44"/>
      <c r="AF102" s="44"/>
      <c r="AG102" s="44"/>
      <c r="AH102" s="44"/>
    </row>
    <row r="103" spans="2:34" ht="15" customHeight="1">
      <c r="B103" s="177" t="s">
        <v>5</v>
      </c>
      <c r="C103" s="48"/>
      <c r="D103" s="49"/>
      <c r="E103" s="206"/>
      <c r="F103" s="188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78"/>
      <c r="W103" s="178"/>
      <c r="X103" s="178"/>
      <c r="Y103" s="178"/>
      <c r="Z103" s="178"/>
      <c r="AA103" s="178"/>
      <c r="AB103" s="159"/>
      <c r="AC103" s="52"/>
      <c r="AD103" s="30"/>
      <c r="AE103" s="30"/>
      <c r="AF103" s="30"/>
      <c r="AG103" s="30"/>
      <c r="AH103" s="26"/>
    </row>
    <row r="104" spans="2:34" ht="15" customHeight="1">
      <c r="B104" s="145"/>
      <c r="C104" s="3"/>
      <c r="D104" s="8"/>
      <c r="E104" s="207"/>
      <c r="F104" s="15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50"/>
      <c r="W104" s="150"/>
      <c r="X104" s="150"/>
      <c r="Y104" s="150"/>
      <c r="Z104" s="150"/>
      <c r="AA104" s="150"/>
      <c r="AB104" s="151"/>
      <c r="AC104" s="53"/>
      <c r="AD104" s="31"/>
      <c r="AE104" s="31"/>
      <c r="AF104" s="31"/>
      <c r="AG104" s="31"/>
      <c r="AH104" s="29"/>
    </row>
    <row r="105" spans="2:34" ht="15" customHeight="1">
      <c r="B105" s="145"/>
      <c r="C105" s="3"/>
      <c r="D105" s="8"/>
      <c r="E105" s="207"/>
      <c r="F105" s="15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50"/>
      <c r="W105" s="150"/>
      <c r="X105" s="150"/>
      <c r="Y105" s="150"/>
      <c r="Z105" s="150"/>
      <c r="AA105" s="150"/>
      <c r="AB105" s="151"/>
      <c r="AC105" s="52"/>
      <c r="AD105" s="30"/>
      <c r="AE105" s="30"/>
      <c r="AF105" s="30"/>
      <c r="AG105" s="30"/>
      <c r="AH105" s="26"/>
    </row>
    <row r="106" spans="2:34" ht="15" customHeight="1">
      <c r="B106" s="145"/>
      <c r="C106" s="3"/>
      <c r="D106" s="8"/>
      <c r="E106" s="207"/>
      <c r="F106" s="15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50"/>
      <c r="W106" s="150"/>
      <c r="X106" s="150"/>
      <c r="Y106" s="150"/>
      <c r="Z106" s="150"/>
      <c r="AA106" s="150"/>
      <c r="AB106" s="151"/>
      <c r="AC106" s="52"/>
      <c r="AD106" s="30"/>
      <c r="AE106" s="30"/>
      <c r="AF106" s="30"/>
      <c r="AG106" s="30"/>
      <c r="AH106" s="26"/>
    </row>
    <row r="107" spans="2:34" ht="15" customHeight="1">
      <c r="B107" s="145"/>
      <c r="C107" s="3"/>
      <c r="D107" s="8"/>
      <c r="E107" s="208"/>
      <c r="F107" s="15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50"/>
      <c r="W107" s="150"/>
      <c r="X107" s="150"/>
      <c r="Y107" s="150"/>
      <c r="Z107" s="150"/>
      <c r="AA107" s="150"/>
      <c r="AB107" s="151"/>
      <c r="AC107" s="52"/>
      <c r="AD107" s="30"/>
      <c r="AE107" s="30"/>
      <c r="AF107" s="30"/>
      <c r="AG107" s="30"/>
      <c r="AH107" s="26"/>
    </row>
    <row r="108" spans="2:34" ht="15" customHeight="1">
      <c r="B108" s="145"/>
      <c r="C108" s="3"/>
      <c r="D108" s="8"/>
      <c r="E108" s="208"/>
      <c r="F108" s="15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50"/>
      <c r="W108" s="150"/>
      <c r="X108" s="150"/>
      <c r="Y108" s="150"/>
      <c r="Z108" s="150"/>
      <c r="AA108" s="150"/>
      <c r="AB108" s="151"/>
      <c r="AC108" s="52"/>
      <c r="AD108" s="30"/>
      <c r="AE108" s="30"/>
      <c r="AF108" s="30"/>
      <c r="AG108" s="30"/>
      <c r="AH108" s="26"/>
    </row>
    <row r="109" spans="2:34" ht="15" customHeight="1">
      <c r="B109" s="145"/>
      <c r="C109" s="8"/>
      <c r="D109" s="8"/>
      <c r="E109" s="207"/>
      <c r="F109" s="15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50"/>
      <c r="W109" s="150"/>
      <c r="X109" s="150"/>
      <c r="Y109" s="150"/>
      <c r="Z109" s="150"/>
      <c r="AA109" s="150"/>
      <c r="AB109" s="151"/>
      <c r="AC109" s="52"/>
      <c r="AD109" s="30"/>
      <c r="AE109" s="30"/>
      <c r="AF109" s="30"/>
      <c r="AG109" s="30"/>
      <c r="AH109" s="26"/>
    </row>
    <row r="110" spans="2:34" ht="15" customHeight="1">
      <c r="B110" s="145"/>
      <c r="C110" s="3"/>
      <c r="D110" s="8"/>
      <c r="E110" s="110"/>
      <c r="F110" s="15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50"/>
      <c r="W110" s="150"/>
      <c r="X110" s="150"/>
      <c r="Y110" s="150"/>
      <c r="Z110" s="150"/>
      <c r="AA110" s="150"/>
      <c r="AB110" s="151"/>
      <c r="AC110" s="52"/>
      <c r="AD110" s="30"/>
      <c r="AE110" s="30"/>
      <c r="AF110" s="30"/>
      <c r="AG110" s="30"/>
      <c r="AH110" s="26"/>
    </row>
    <row r="111" spans="2:34" ht="15" customHeight="1">
      <c r="B111" s="145"/>
      <c r="C111" s="3"/>
      <c r="D111" s="8"/>
      <c r="E111" s="110"/>
      <c r="F111" s="15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50"/>
      <c r="W111" s="150"/>
      <c r="X111" s="150"/>
      <c r="Y111" s="150"/>
      <c r="Z111" s="150"/>
      <c r="AA111" s="150"/>
      <c r="AB111" s="151"/>
      <c r="AC111" s="52"/>
      <c r="AD111" s="30"/>
      <c r="AE111" s="30"/>
      <c r="AF111" s="30"/>
      <c r="AG111" s="30"/>
      <c r="AH111" s="26"/>
    </row>
    <row r="112" spans="2:34" ht="15" customHeight="1">
      <c r="B112" s="145"/>
      <c r="C112" s="3"/>
      <c r="D112" s="8"/>
      <c r="E112" s="110"/>
      <c r="F112" s="15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50"/>
      <c r="W112" s="150"/>
      <c r="X112" s="150"/>
      <c r="Y112" s="150"/>
      <c r="Z112" s="150"/>
      <c r="AA112" s="150"/>
      <c r="AB112" s="151"/>
      <c r="AC112" s="52"/>
      <c r="AD112" s="30"/>
      <c r="AE112" s="30"/>
      <c r="AF112" s="30"/>
      <c r="AG112" s="30"/>
      <c r="AH112" s="26"/>
    </row>
    <row r="113" spans="2:34" ht="15" customHeight="1">
      <c r="B113" s="145"/>
      <c r="C113" s="3"/>
      <c r="D113" s="8"/>
      <c r="E113" s="207"/>
      <c r="F113" s="15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50"/>
      <c r="W113" s="150"/>
      <c r="X113" s="150"/>
      <c r="Y113" s="150"/>
      <c r="Z113" s="150"/>
      <c r="AA113" s="150"/>
      <c r="AB113" s="151"/>
      <c r="AC113" s="52"/>
      <c r="AD113" s="30"/>
      <c r="AE113" s="30"/>
      <c r="AF113" s="30"/>
      <c r="AG113" s="30"/>
      <c r="AH113" s="26"/>
    </row>
    <row r="114" spans="2:34" ht="15" customHeight="1">
      <c r="B114" s="145"/>
      <c r="C114" s="3"/>
      <c r="D114" s="8"/>
      <c r="E114" s="207"/>
      <c r="F114" s="15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50"/>
      <c r="W114" s="150"/>
      <c r="X114" s="150"/>
      <c r="Y114" s="150"/>
      <c r="Z114" s="150"/>
      <c r="AA114" s="150"/>
      <c r="AB114" s="151"/>
      <c r="AC114" s="52"/>
      <c r="AD114" s="30"/>
      <c r="AE114" s="30"/>
      <c r="AF114" s="30"/>
      <c r="AG114" s="30"/>
      <c r="AH114" s="26"/>
    </row>
    <row r="115" spans="2:34" ht="15" customHeight="1">
      <c r="B115" s="145"/>
      <c r="C115" s="3"/>
      <c r="D115" s="8"/>
      <c r="E115" s="207"/>
      <c r="F115" s="15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50"/>
      <c r="W115" s="150"/>
      <c r="X115" s="150"/>
      <c r="Y115" s="150"/>
      <c r="Z115" s="150"/>
      <c r="AA115" s="150"/>
      <c r="AB115" s="151"/>
      <c r="AC115" s="52"/>
      <c r="AD115" s="30"/>
      <c r="AE115" s="30"/>
      <c r="AF115" s="30"/>
      <c r="AG115" s="30"/>
      <c r="AH115" s="26"/>
    </row>
    <row r="116" spans="2:34" ht="15" customHeight="1">
      <c r="B116" s="145"/>
      <c r="C116" s="3"/>
      <c r="D116" s="8"/>
      <c r="E116" s="207"/>
      <c r="F116" s="158"/>
      <c r="G116" s="152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50"/>
      <c r="W116" s="150"/>
      <c r="X116" s="150"/>
      <c r="Y116" s="150"/>
      <c r="Z116" s="150"/>
      <c r="AA116" s="150"/>
      <c r="AB116" s="151"/>
      <c r="AC116" s="52"/>
      <c r="AD116" s="30"/>
      <c r="AE116" s="30"/>
      <c r="AF116" s="30"/>
      <c r="AG116" s="30"/>
      <c r="AH116" s="26"/>
    </row>
    <row r="117" spans="2:34" ht="15" customHeight="1">
      <c r="B117" s="145"/>
      <c r="C117" s="3"/>
      <c r="D117" s="8"/>
      <c r="E117" s="207"/>
      <c r="F117" s="15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50"/>
      <c r="W117" s="150"/>
      <c r="X117" s="150"/>
      <c r="Y117" s="150"/>
      <c r="Z117" s="150"/>
      <c r="AA117" s="150"/>
      <c r="AB117" s="151"/>
      <c r="AC117" s="52"/>
      <c r="AD117" s="30"/>
      <c r="AE117" s="30"/>
      <c r="AF117" s="30"/>
      <c r="AG117" s="30"/>
      <c r="AH117" s="26"/>
    </row>
    <row r="118" spans="2:34" ht="15" customHeight="1">
      <c r="B118" s="145"/>
      <c r="C118" s="3"/>
      <c r="D118" s="8"/>
      <c r="E118" s="207"/>
      <c r="F118" s="15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50"/>
      <c r="W118" s="150"/>
      <c r="X118" s="150"/>
      <c r="Y118" s="150"/>
      <c r="Z118" s="150"/>
      <c r="AA118" s="150"/>
      <c r="AB118" s="151"/>
      <c r="AC118" s="52"/>
      <c r="AD118" s="30"/>
      <c r="AE118" s="30"/>
      <c r="AF118" s="30"/>
      <c r="AG118" s="30"/>
      <c r="AH118" s="26"/>
    </row>
    <row r="119" spans="2:34" ht="15" customHeight="1">
      <c r="B119" s="145"/>
      <c r="C119" s="3"/>
      <c r="D119" s="8"/>
      <c r="E119" s="207"/>
      <c r="F119" s="15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50"/>
      <c r="W119" s="150"/>
      <c r="X119" s="150"/>
      <c r="Y119" s="150"/>
      <c r="Z119" s="150"/>
      <c r="AA119" s="150"/>
      <c r="AB119" s="151"/>
      <c r="AC119" s="52"/>
      <c r="AD119" s="30"/>
      <c r="AE119" s="30"/>
      <c r="AF119" s="30"/>
      <c r="AG119" s="30"/>
      <c r="AH119" s="26"/>
    </row>
    <row r="120" spans="2:34" ht="15" customHeight="1">
      <c r="B120" s="145"/>
      <c r="C120" s="3"/>
      <c r="D120" s="8"/>
      <c r="E120" s="207"/>
      <c r="F120" s="15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50"/>
      <c r="W120" s="150"/>
      <c r="X120" s="150"/>
      <c r="Y120" s="150"/>
      <c r="Z120" s="150"/>
      <c r="AA120" s="150"/>
      <c r="AB120" s="151"/>
      <c r="AC120" s="52"/>
      <c r="AD120" s="30"/>
      <c r="AE120" s="30"/>
      <c r="AF120" s="30"/>
      <c r="AG120" s="30"/>
      <c r="AH120" s="26"/>
    </row>
    <row r="121" spans="2:34" ht="15" customHeight="1">
      <c r="B121" s="145"/>
      <c r="C121" s="3"/>
      <c r="D121" s="8"/>
      <c r="E121" s="207"/>
      <c r="F121" s="15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50"/>
      <c r="W121" s="150"/>
      <c r="X121" s="150"/>
      <c r="Y121" s="150"/>
      <c r="Z121" s="150"/>
      <c r="AA121" s="150"/>
      <c r="AB121" s="151"/>
      <c r="AC121" s="52"/>
      <c r="AD121" s="30"/>
      <c r="AE121" s="30"/>
      <c r="AF121" s="30"/>
      <c r="AG121" s="30"/>
      <c r="AH121" s="26"/>
    </row>
    <row r="122" spans="2:34" ht="15" customHeight="1">
      <c r="B122" s="145"/>
      <c r="C122" s="3"/>
      <c r="D122" s="8"/>
      <c r="E122" s="207"/>
      <c r="F122" s="15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50"/>
      <c r="W122" s="150"/>
      <c r="X122" s="150"/>
      <c r="Y122" s="150"/>
      <c r="Z122" s="150"/>
      <c r="AA122" s="150"/>
      <c r="AB122" s="151"/>
      <c r="AC122" s="52"/>
      <c r="AD122" s="30"/>
      <c r="AE122" s="30"/>
      <c r="AF122" s="30"/>
      <c r="AG122" s="30"/>
      <c r="AH122" s="26"/>
    </row>
    <row r="123" spans="2:34" ht="15" customHeight="1">
      <c r="B123" s="145"/>
      <c r="C123" s="111"/>
      <c r="D123" s="8"/>
      <c r="E123" s="207"/>
      <c r="F123" s="15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50"/>
      <c r="W123" s="150"/>
      <c r="X123" s="150"/>
      <c r="Y123" s="150"/>
      <c r="Z123" s="150"/>
      <c r="AA123" s="150"/>
      <c r="AB123" s="151"/>
      <c r="AC123" s="52"/>
      <c r="AD123" s="30"/>
      <c r="AE123" s="30"/>
      <c r="AF123" s="30"/>
      <c r="AG123" s="30"/>
      <c r="AH123" s="26"/>
    </row>
    <row r="124" spans="2:34" ht="15" customHeight="1">
      <c r="B124" s="145"/>
      <c r="C124" s="111"/>
      <c r="D124" s="8"/>
      <c r="E124" s="207"/>
      <c r="F124" s="15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50"/>
      <c r="W124" s="150"/>
      <c r="X124" s="150"/>
      <c r="Y124" s="150"/>
      <c r="Z124" s="150"/>
      <c r="AA124" s="150"/>
      <c r="AB124" s="151"/>
      <c r="AC124" s="52"/>
      <c r="AD124" s="30"/>
      <c r="AE124" s="30"/>
      <c r="AF124" s="30"/>
      <c r="AG124" s="30"/>
      <c r="AH124" s="26"/>
    </row>
    <row r="125" spans="2:34" ht="15" customHeight="1">
      <c r="B125" s="145"/>
      <c r="C125" s="111"/>
      <c r="D125" s="8"/>
      <c r="E125" s="207"/>
      <c r="F125" s="15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50"/>
      <c r="W125" s="150"/>
      <c r="X125" s="150"/>
      <c r="Y125" s="150"/>
      <c r="Z125" s="150"/>
      <c r="AA125" s="150"/>
      <c r="AB125" s="151"/>
      <c r="AC125" s="52"/>
      <c r="AD125" s="30"/>
      <c r="AE125" s="30"/>
      <c r="AF125" s="30"/>
      <c r="AG125" s="30"/>
      <c r="AH125" s="26"/>
    </row>
    <row r="126" spans="2:34" ht="15" customHeight="1">
      <c r="B126" s="145"/>
      <c r="C126" s="111"/>
      <c r="D126" s="8"/>
      <c r="E126" s="207"/>
      <c r="F126" s="15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50"/>
      <c r="W126" s="150"/>
      <c r="X126" s="150"/>
      <c r="Y126" s="150"/>
      <c r="Z126" s="150"/>
      <c r="AA126" s="150"/>
      <c r="AB126" s="151"/>
      <c r="AC126" s="52"/>
      <c r="AD126" s="30"/>
      <c r="AE126" s="30"/>
      <c r="AF126" s="30"/>
      <c r="AG126" s="30"/>
      <c r="AH126" s="26"/>
    </row>
    <row r="127" spans="2:34" ht="15" customHeight="1">
      <c r="B127" s="145"/>
      <c r="C127" s="115"/>
      <c r="D127" s="8"/>
      <c r="E127" s="207"/>
      <c r="F127" s="15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50"/>
      <c r="W127" s="150"/>
      <c r="X127" s="150"/>
      <c r="Y127" s="150"/>
      <c r="Z127" s="150"/>
      <c r="AA127" s="150"/>
      <c r="AB127" s="151"/>
      <c r="AC127" s="52"/>
      <c r="AD127" s="30"/>
      <c r="AE127" s="30"/>
      <c r="AF127" s="30"/>
      <c r="AG127" s="30"/>
      <c r="AH127" s="26"/>
    </row>
    <row r="128" spans="2:34" ht="15" customHeight="1">
      <c r="B128" s="145"/>
      <c r="C128" s="3"/>
      <c r="D128" s="8"/>
      <c r="E128" s="207"/>
      <c r="F128" s="15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50"/>
      <c r="W128" s="150"/>
      <c r="X128" s="150"/>
      <c r="Y128" s="150"/>
      <c r="Z128" s="150"/>
      <c r="AA128" s="150"/>
      <c r="AB128" s="151"/>
      <c r="AC128" s="52"/>
      <c r="AD128" s="30"/>
      <c r="AE128" s="30"/>
      <c r="AF128" s="30"/>
      <c r="AG128" s="30"/>
      <c r="AH128" s="26"/>
    </row>
    <row r="129" spans="2:35" ht="15" customHeight="1" thickBot="1">
      <c r="B129" s="179"/>
      <c r="C129" s="180"/>
      <c r="D129" s="50"/>
      <c r="E129" s="205"/>
      <c r="F129" s="17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81"/>
      <c r="W129" s="181"/>
      <c r="X129" s="181"/>
      <c r="Y129" s="181"/>
      <c r="Z129" s="181"/>
      <c r="AA129" s="181"/>
      <c r="AB129" s="182"/>
      <c r="AC129" s="52"/>
      <c r="AD129" s="30"/>
      <c r="AE129" s="30"/>
      <c r="AF129" s="30"/>
      <c r="AG129" s="30"/>
      <c r="AH129" s="26"/>
    </row>
    <row r="130" spans="2:35" ht="6.75" customHeight="1" thickBot="1"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7"/>
      <c r="AC130" s="72"/>
      <c r="AD130" s="72"/>
      <c r="AE130" s="72"/>
      <c r="AF130" s="72"/>
      <c r="AG130" s="72"/>
      <c r="AH130" s="72"/>
    </row>
    <row r="131" spans="2:35" ht="15" customHeight="1">
      <c r="B131" s="135" t="s">
        <v>6</v>
      </c>
      <c r="C131" s="48"/>
      <c r="D131" s="49"/>
      <c r="E131" s="209"/>
      <c r="F131" s="157"/>
      <c r="G131" s="160"/>
      <c r="H131" s="147"/>
      <c r="I131" s="147"/>
      <c r="J131" s="147"/>
      <c r="K131" s="147"/>
      <c r="L131" s="147"/>
      <c r="M131" s="147"/>
      <c r="N131" s="160"/>
      <c r="O131" s="147"/>
      <c r="P131" s="147"/>
      <c r="Q131" s="147"/>
      <c r="R131" s="147"/>
      <c r="S131" s="147"/>
      <c r="T131" s="147"/>
      <c r="U131" s="174"/>
      <c r="V131" s="174"/>
      <c r="W131" s="174"/>
      <c r="X131" s="174"/>
      <c r="Y131" s="174"/>
      <c r="Z131" s="174"/>
      <c r="AA131" s="174"/>
      <c r="AB131" s="175"/>
      <c r="AC131" s="173"/>
      <c r="AD131" s="24"/>
      <c r="AE131" s="24"/>
      <c r="AF131" s="24"/>
      <c r="AG131" s="24"/>
      <c r="AH131" s="25"/>
    </row>
    <row r="132" spans="2:35" ht="15" customHeight="1">
      <c r="B132" s="136"/>
      <c r="C132" s="3"/>
      <c r="D132" s="8"/>
      <c r="E132" s="207"/>
      <c r="F132" s="158"/>
      <c r="G132" s="148"/>
      <c r="H132" s="148"/>
      <c r="I132" s="148"/>
      <c r="J132" s="148"/>
      <c r="K132" s="148"/>
      <c r="L132" s="148"/>
      <c r="M132" s="148"/>
      <c r="N132" s="146"/>
      <c r="O132" s="148"/>
      <c r="P132" s="148"/>
      <c r="Q132" s="148"/>
      <c r="R132" s="148"/>
      <c r="S132" s="148"/>
      <c r="T132" s="148"/>
      <c r="U132" s="146"/>
      <c r="V132" s="148"/>
      <c r="W132" s="148"/>
      <c r="X132" s="148"/>
      <c r="Y132" s="148"/>
      <c r="Z132" s="148"/>
      <c r="AA132" s="148"/>
      <c r="AB132" s="163"/>
      <c r="AC132" s="55"/>
      <c r="AD132" s="7"/>
      <c r="AE132" s="7"/>
      <c r="AF132" s="7"/>
      <c r="AG132" s="7"/>
      <c r="AH132" s="26"/>
    </row>
    <row r="133" spans="2:35" ht="15" customHeight="1">
      <c r="B133" s="136"/>
      <c r="C133" s="3"/>
      <c r="D133" s="8"/>
      <c r="E133" s="207"/>
      <c r="F133" s="162"/>
      <c r="G133" s="148"/>
      <c r="H133" s="148"/>
      <c r="I133" s="148"/>
      <c r="J133" s="148"/>
      <c r="K133" s="148"/>
      <c r="L133" s="148"/>
      <c r="M133" s="148"/>
      <c r="N133" s="146"/>
      <c r="O133" s="148"/>
      <c r="P133" s="148"/>
      <c r="Q133" s="148"/>
      <c r="R133" s="148"/>
      <c r="S133" s="148"/>
      <c r="T133" s="148"/>
      <c r="U133" s="146"/>
      <c r="V133" s="148"/>
      <c r="W133" s="148"/>
      <c r="X133" s="148"/>
      <c r="Y133" s="148"/>
      <c r="Z133" s="148"/>
      <c r="AA133" s="148"/>
      <c r="AB133" s="163"/>
      <c r="AC133" s="55"/>
      <c r="AD133" s="7"/>
      <c r="AE133" s="7"/>
      <c r="AF133" s="7"/>
      <c r="AG133" s="7"/>
      <c r="AH133" s="26"/>
    </row>
    <row r="134" spans="2:35" ht="15" customHeight="1">
      <c r="B134" s="136"/>
      <c r="C134" s="3"/>
      <c r="D134" s="8"/>
      <c r="E134" s="207"/>
      <c r="F134" s="158"/>
      <c r="G134" s="148"/>
      <c r="H134" s="148"/>
      <c r="I134" s="148"/>
      <c r="J134" s="148"/>
      <c r="K134" s="148"/>
      <c r="L134" s="148"/>
      <c r="M134" s="148"/>
      <c r="N134" s="146"/>
      <c r="O134" s="148"/>
      <c r="P134" s="148"/>
      <c r="Q134" s="148"/>
      <c r="R134" s="148"/>
      <c r="S134" s="148"/>
      <c r="T134" s="148"/>
      <c r="U134" s="102"/>
      <c r="V134" s="102"/>
      <c r="W134" s="102"/>
      <c r="X134" s="102"/>
      <c r="Y134" s="102"/>
      <c r="Z134" s="102"/>
      <c r="AA134" s="102"/>
      <c r="AB134" s="176"/>
      <c r="AC134" s="55"/>
      <c r="AD134" s="7"/>
      <c r="AE134" s="7"/>
      <c r="AF134" s="7"/>
      <c r="AG134" s="7"/>
      <c r="AH134" s="26"/>
    </row>
    <row r="135" spans="2:35" ht="15" customHeight="1">
      <c r="B135" s="137"/>
      <c r="C135" s="82"/>
      <c r="D135" s="83"/>
      <c r="E135" s="210"/>
      <c r="F135" s="158"/>
      <c r="G135" s="149"/>
      <c r="H135" s="149"/>
      <c r="I135" s="149"/>
      <c r="J135" s="149"/>
      <c r="K135" s="149"/>
      <c r="L135" s="149"/>
      <c r="M135" s="149"/>
      <c r="N135" s="146"/>
      <c r="O135" s="149"/>
      <c r="P135" s="149"/>
      <c r="Q135" s="149"/>
      <c r="R135" s="149"/>
      <c r="S135" s="149"/>
      <c r="T135" s="149"/>
      <c r="U135" s="102"/>
      <c r="V135" s="102"/>
      <c r="W135" s="102"/>
      <c r="X135" s="102"/>
      <c r="Y135" s="102"/>
      <c r="Z135" s="102"/>
      <c r="AA135" s="102"/>
      <c r="AB135" s="176"/>
      <c r="AC135" s="108"/>
      <c r="AD135" s="23"/>
      <c r="AE135" s="23"/>
      <c r="AF135" s="23"/>
      <c r="AG135" s="23"/>
      <c r="AH135" s="84"/>
    </row>
    <row r="136" spans="2:35" ht="15" customHeight="1">
      <c r="B136" s="137"/>
      <c r="C136" s="82"/>
      <c r="D136" s="83"/>
      <c r="E136" s="210"/>
      <c r="F136" s="158"/>
      <c r="G136" s="149"/>
      <c r="H136" s="149"/>
      <c r="I136" s="149"/>
      <c r="J136" s="149"/>
      <c r="K136" s="149"/>
      <c r="L136" s="149"/>
      <c r="M136" s="149"/>
      <c r="N136" s="102"/>
      <c r="O136" s="149"/>
      <c r="P136" s="149"/>
      <c r="Q136" s="149"/>
      <c r="R136" s="149"/>
      <c r="S136" s="149"/>
      <c r="T136" s="149"/>
      <c r="U136" s="102"/>
      <c r="V136" s="102"/>
      <c r="W136" s="102"/>
      <c r="X136" s="102"/>
      <c r="Y136" s="102"/>
      <c r="Z136" s="102"/>
      <c r="AA136" s="102"/>
      <c r="AB136" s="176"/>
      <c r="AC136" s="108"/>
      <c r="AD136" s="23"/>
      <c r="AE136" s="23"/>
      <c r="AF136" s="23"/>
      <c r="AG136" s="23"/>
      <c r="AH136" s="84"/>
    </row>
    <row r="137" spans="2:35" ht="15" customHeight="1">
      <c r="B137" s="137"/>
      <c r="C137" s="82"/>
      <c r="D137" s="83"/>
      <c r="E137" s="210"/>
      <c r="F137" s="158"/>
      <c r="G137" s="149"/>
      <c r="H137" s="149"/>
      <c r="I137" s="149"/>
      <c r="J137" s="149"/>
      <c r="K137" s="149"/>
      <c r="L137" s="149"/>
      <c r="M137" s="149"/>
      <c r="N137" s="102"/>
      <c r="O137" s="149"/>
      <c r="P137" s="149"/>
      <c r="Q137" s="149"/>
      <c r="R137" s="149"/>
      <c r="S137" s="149"/>
      <c r="T137" s="149"/>
      <c r="U137" s="102"/>
      <c r="V137" s="102"/>
      <c r="W137" s="102"/>
      <c r="X137" s="102"/>
      <c r="Y137" s="102"/>
      <c r="Z137" s="102"/>
      <c r="AA137" s="102"/>
      <c r="AB137" s="176"/>
      <c r="AC137" s="108"/>
      <c r="AD137" s="23"/>
      <c r="AE137" s="23"/>
      <c r="AF137" s="23"/>
      <c r="AG137" s="23"/>
      <c r="AH137" s="84"/>
    </row>
    <row r="138" spans="2:35" ht="15" customHeight="1" thickBot="1">
      <c r="B138" s="137"/>
      <c r="C138" s="3"/>
      <c r="D138" s="8"/>
      <c r="E138" s="207"/>
      <c r="F138" s="158"/>
      <c r="G138" s="149"/>
      <c r="H138" s="101"/>
      <c r="I138" s="101"/>
      <c r="J138" s="101"/>
      <c r="K138" s="101"/>
      <c r="L138" s="101"/>
      <c r="M138" s="101"/>
      <c r="N138" s="146"/>
      <c r="O138" s="101"/>
      <c r="P138" s="101"/>
      <c r="Q138" s="101"/>
      <c r="R138" s="101"/>
      <c r="S138" s="101"/>
      <c r="T138" s="101"/>
      <c r="U138" s="102"/>
      <c r="V138" s="102"/>
      <c r="W138" s="102"/>
      <c r="X138" s="102"/>
      <c r="Y138" s="102"/>
      <c r="Z138" s="102"/>
      <c r="AA138" s="102"/>
      <c r="AB138" s="176"/>
      <c r="AC138" s="108"/>
      <c r="AD138" s="23"/>
      <c r="AE138" s="23"/>
      <c r="AF138" s="23"/>
      <c r="AG138" s="23"/>
      <c r="AH138" s="84"/>
    </row>
    <row r="139" spans="2:35" ht="15" customHeight="1" thickBot="1">
      <c r="B139" s="137"/>
      <c r="C139" s="3"/>
      <c r="D139" s="8"/>
      <c r="E139" s="208"/>
      <c r="F139" s="162"/>
      <c r="G139" s="149"/>
      <c r="H139" s="101"/>
      <c r="I139" s="101"/>
      <c r="J139" s="101"/>
      <c r="K139" s="101"/>
      <c r="L139" s="101"/>
      <c r="M139" s="101"/>
      <c r="N139" s="106"/>
      <c r="O139" s="101"/>
      <c r="P139" s="101"/>
      <c r="Q139" s="101"/>
      <c r="R139" s="101"/>
      <c r="S139" s="101"/>
      <c r="T139" s="101"/>
      <c r="U139" s="107"/>
      <c r="V139" s="107"/>
      <c r="W139" s="107"/>
      <c r="X139" s="107"/>
      <c r="Y139" s="107"/>
      <c r="Z139" s="107"/>
      <c r="AA139" s="107"/>
      <c r="AB139" s="176"/>
      <c r="AC139" s="108"/>
      <c r="AD139" s="23"/>
      <c r="AE139" s="23"/>
      <c r="AF139" s="23"/>
      <c r="AG139" s="23"/>
      <c r="AH139" s="84"/>
    </row>
    <row r="140" spans="2:35" ht="15" customHeight="1" thickBot="1">
      <c r="B140" s="138"/>
      <c r="C140" s="99"/>
      <c r="D140" s="100"/>
      <c r="E140" s="211"/>
      <c r="F140" s="171"/>
      <c r="G140" s="101"/>
      <c r="H140" s="101"/>
      <c r="I140" s="101"/>
      <c r="J140" s="101"/>
      <c r="K140" s="101"/>
      <c r="L140" s="101"/>
      <c r="M140" s="101"/>
      <c r="N140" s="103"/>
      <c r="O140" s="101"/>
      <c r="P140" s="101"/>
      <c r="Q140" s="101"/>
      <c r="R140" s="101"/>
      <c r="S140" s="101"/>
      <c r="T140" s="101"/>
      <c r="U140" s="104"/>
      <c r="V140" s="104"/>
      <c r="W140" s="104"/>
      <c r="X140" s="104"/>
      <c r="Y140" s="104"/>
      <c r="Z140" s="104"/>
      <c r="AA140" s="104"/>
      <c r="AB140" s="105"/>
      <c r="AC140" s="112"/>
      <c r="AD140" s="27"/>
      <c r="AE140" s="27"/>
      <c r="AF140" s="27"/>
      <c r="AG140" s="27"/>
      <c r="AH140" s="28"/>
    </row>
    <row r="141" spans="2:35" ht="18" customHeight="1">
      <c r="B141" s="2"/>
      <c r="C141" s="22"/>
      <c r="D141" s="12"/>
      <c r="E141" s="12"/>
    </row>
    <row r="143" spans="2:35" ht="18" customHeight="1">
      <c r="D143" s="1"/>
      <c r="F143" s="66" t="s">
        <v>17</v>
      </c>
      <c r="G143" s="66" t="s">
        <v>17</v>
      </c>
      <c r="H143" s="66" t="s">
        <v>17</v>
      </c>
      <c r="I143" s="66" t="s">
        <v>17</v>
      </c>
      <c r="J143" s="66" t="s">
        <v>17</v>
      </c>
      <c r="K143" s="66" t="s">
        <v>17</v>
      </c>
      <c r="L143" s="66" t="s">
        <v>17</v>
      </c>
      <c r="M143" s="66" t="s">
        <v>17</v>
      </c>
      <c r="N143" s="66" t="s">
        <v>17</v>
      </c>
      <c r="O143" s="66" t="s">
        <v>17</v>
      </c>
      <c r="P143" s="66" t="s">
        <v>17</v>
      </c>
      <c r="Q143" s="66" t="s">
        <v>17</v>
      </c>
      <c r="R143" s="66" t="s">
        <v>17</v>
      </c>
      <c r="S143" s="66" t="s">
        <v>17</v>
      </c>
      <c r="T143" s="66" t="s">
        <v>17</v>
      </c>
      <c r="U143" s="66" t="s">
        <v>17</v>
      </c>
      <c r="V143" s="66" t="s">
        <v>17</v>
      </c>
      <c r="W143" s="66" t="s">
        <v>17</v>
      </c>
      <c r="X143" s="66" t="s">
        <v>17</v>
      </c>
      <c r="Y143" s="66" t="s">
        <v>17</v>
      </c>
      <c r="Z143" s="66" t="s">
        <v>17</v>
      </c>
      <c r="AA143" s="66" t="s">
        <v>17</v>
      </c>
      <c r="AB143" s="66" t="s">
        <v>17</v>
      </c>
      <c r="AC143" s="66" t="s">
        <v>17</v>
      </c>
      <c r="AD143" s="66" t="s">
        <v>17</v>
      </c>
      <c r="AE143" s="66" t="s">
        <v>17</v>
      </c>
      <c r="AF143" s="66" t="s">
        <v>17</v>
      </c>
      <c r="AG143" s="66" t="s">
        <v>17</v>
      </c>
      <c r="AH143" s="66" t="s">
        <v>17</v>
      </c>
      <c r="AI143" s="4"/>
    </row>
    <row r="144" spans="2:35" ht="18" customHeight="1">
      <c r="D144" s="1"/>
      <c r="F144" s="67" t="s">
        <v>18</v>
      </c>
      <c r="G144" s="67" t="s">
        <v>18</v>
      </c>
      <c r="H144" s="67" t="s">
        <v>18</v>
      </c>
      <c r="I144" s="67" t="s">
        <v>18</v>
      </c>
      <c r="J144" s="67" t="s">
        <v>18</v>
      </c>
      <c r="K144" s="67" t="s">
        <v>18</v>
      </c>
      <c r="L144" s="67" t="s">
        <v>18</v>
      </c>
      <c r="M144" s="67" t="s">
        <v>18</v>
      </c>
      <c r="N144" s="67" t="s">
        <v>18</v>
      </c>
      <c r="O144" s="67" t="s">
        <v>18</v>
      </c>
      <c r="P144" s="67" t="s">
        <v>18</v>
      </c>
      <c r="Q144" s="67" t="s">
        <v>18</v>
      </c>
      <c r="R144" s="67" t="s">
        <v>18</v>
      </c>
      <c r="S144" s="67" t="s">
        <v>18</v>
      </c>
      <c r="T144" s="67" t="s">
        <v>18</v>
      </c>
      <c r="U144" s="67" t="s">
        <v>18</v>
      </c>
      <c r="V144" s="67" t="s">
        <v>18</v>
      </c>
      <c r="W144" s="67" t="s">
        <v>18</v>
      </c>
      <c r="X144" s="67" t="s">
        <v>18</v>
      </c>
      <c r="Y144" s="67" t="s">
        <v>18</v>
      </c>
      <c r="Z144" s="67" t="s">
        <v>18</v>
      </c>
      <c r="AA144" s="67" t="s">
        <v>18</v>
      </c>
      <c r="AB144" s="67" t="s">
        <v>18</v>
      </c>
      <c r="AC144" s="67" t="s">
        <v>18</v>
      </c>
      <c r="AD144" s="67" t="s">
        <v>18</v>
      </c>
      <c r="AE144" s="67" t="s">
        <v>18</v>
      </c>
      <c r="AF144" s="67" t="s">
        <v>18</v>
      </c>
      <c r="AG144" s="67" t="s">
        <v>18</v>
      </c>
      <c r="AH144" s="67" t="s">
        <v>18</v>
      </c>
      <c r="AI144" s="4"/>
    </row>
    <row r="145" spans="4:35" ht="18" customHeight="1">
      <c r="D145" s="1"/>
      <c r="F145" s="68">
        <f t="shared" ref="F145:AH145" si="0">CountCcolor(F13:F140,F144)</f>
        <v>0</v>
      </c>
      <c r="G145" s="68">
        <f t="shared" si="0"/>
        <v>0</v>
      </c>
      <c r="H145" s="68">
        <f t="shared" si="0"/>
        <v>1</v>
      </c>
      <c r="I145" s="68">
        <f t="shared" si="0"/>
        <v>1</v>
      </c>
      <c r="J145" s="68">
        <f t="shared" si="0"/>
        <v>1</v>
      </c>
      <c r="K145" s="68">
        <f t="shared" si="0"/>
        <v>1</v>
      </c>
      <c r="L145" s="68">
        <f t="shared" si="0"/>
        <v>1</v>
      </c>
      <c r="M145" s="68">
        <f t="shared" si="0"/>
        <v>1</v>
      </c>
      <c r="N145" s="68">
        <f t="shared" si="0"/>
        <v>0</v>
      </c>
      <c r="O145" s="68">
        <f t="shared" si="0"/>
        <v>0</v>
      </c>
      <c r="P145" s="68">
        <f t="shared" si="0"/>
        <v>0</v>
      </c>
      <c r="Q145" s="68">
        <f t="shared" si="0"/>
        <v>0</v>
      </c>
      <c r="R145" s="68">
        <f t="shared" si="0"/>
        <v>0</v>
      </c>
      <c r="S145" s="68">
        <f t="shared" si="0"/>
        <v>0</v>
      </c>
      <c r="T145" s="68">
        <f t="shared" si="0"/>
        <v>0</v>
      </c>
      <c r="U145" s="68">
        <f t="shared" si="0"/>
        <v>0</v>
      </c>
      <c r="V145" s="68">
        <f t="shared" si="0"/>
        <v>0</v>
      </c>
      <c r="W145" s="68">
        <f t="shared" si="0"/>
        <v>0</v>
      </c>
      <c r="X145" s="68">
        <f t="shared" si="0"/>
        <v>0</v>
      </c>
      <c r="Y145" s="68">
        <f t="shared" si="0"/>
        <v>0</v>
      </c>
      <c r="Z145" s="68">
        <f t="shared" si="0"/>
        <v>0</v>
      </c>
      <c r="AA145" s="68">
        <f t="shared" si="0"/>
        <v>0</v>
      </c>
      <c r="AB145" s="68">
        <f t="shared" si="0"/>
        <v>0</v>
      </c>
      <c r="AC145" s="68">
        <f t="shared" si="0"/>
        <v>5</v>
      </c>
      <c r="AD145" s="68">
        <f t="shared" si="0"/>
        <v>5</v>
      </c>
      <c r="AE145" s="68">
        <f t="shared" si="0"/>
        <v>5</v>
      </c>
      <c r="AF145" s="68">
        <f t="shared" si="0"/>
        <v>5</v>
      </c>
      <c r="AG145" s="68">
        <f t="shared" si="0"/>
        <v>5</v>
      </c>
      <c r="AH145" s="68">
        <f t="shared" si="0"/>
        <v>5</v>
      </c>
      <c r="AI145" s="4"/>
    </row>
    <row r="146" spans="4:35" ht="18" customHeight="1">
      <c r="D146" s="1"/>
      <c r="F146" s="69" t="s">
        <v>19</v>
      </c>
      <c r="G146" s="69" t="s">
        <v>19</v>
      </c>
      <c r="H146" s="69" t="s">
        <v>19</v>
      </c>
      <c r="I146" s="69" t="s">
        <v>19</v>
      </c>
      <c r="J146" s="69" t="s">
        <v>19</v>
      </c>
      <c r="K146" s="69" t="s">
        <v>19</v>
      </c>
      <c r="L146" s="69" t="s">
        <v>19</v>
      </c>
      <c r="M146" s="69" t="s">
        <v>19</v>
      </c>
      <c r="N146" s="69" t="s">
        <v>19</v>
      </c>
      <c r="O146" s="69" t="s">
        <v>19</v>
      </c>
      <c r="P146" s="69" t="s">
        <v>19</v>
      </c>
      <c r="Q146" s="69" t="s">
        <v>19</v>
      </c>
      <c r="R146" s="69" t="s">
        <v>19</v>
      </c>
      <c r="S146" s="69" t="s">
        <v>19</v>
      </c>
      <c r="T146" s="69" t="s">
        <v>19</v>
      </c>
      <c r="U146" s="69" t="s">
        <v>19</v>
      </c>
      <c r="V146" s="69" t="s">
        <v>19</v>
      </c>
      <c r="W146" s="69" t="s">
        <v>19</v>
      </c>
      <c r="X146" s="69" t="s">
        <v>19</v>
      </c>
      <c r="Y146" s="69" t="s">
        <v>19</v>
      </c>
      <c r="Z146" s="69" t="s">
        <v>19</v>
      </c>
      <c r="AA146" s="69" t="s">
        <v>19</v>
      </c>
      <c r="AB146" s="69" t="s">
        <v>19</v>
      </c>
      <c r="AC146" s="69" t="s">
        <v>19</v>
      </c>
      <c r="AD146" s="69" t="s">
        <v>19</v>
      </c>
      <c r="AE146" s="69" t="s">
        <v>19</v>
      </c>
      <c r="AF146" s="69" t="s">
        <v>19</v>
      </c>
      <c r="AG146" s="69" t="s">
        <v>19</v>
      </c>
      <c r="AH146" s="69" t="s">
        <v>19</v>
      </c>
      <c r="AI146" s="4"/>
    </row>
    <row r="147" spans="4:35" ht="18" customHeight="1">
      <c r="D147" s="1"/>
      <c r="F147" s="68">
        <f t="shared" ref="F147:AH147" si="1">CountCcolor(F13:F140,F146)</f>
        <v>0</v>
      </c>
      <c r="G147" s="68">
        <f t="shared" si="1"/>
        <v>0</v>
      </c>
      <c r="H147" s="68">
        <f t="shared" si="1"/>
        <v>0</v>
      </c>
      <c r="I147" s="68">
        <f t="shared" si="1"/>
        <v>0</v>
      </c>
      <c r="J147" s="68">
        <f t="shared" si="1"/>
        <v>0</v>
      </c>
      <c r="K147" s="68">
        <f t="shared" si="1"/>
        <v>0</v>
      </c>
      <c r="L147" s="68">
        <f t="shared" si="1"/>
        <v>0</v>
      </c>
      <c r="M147" s="68">
        <f t="shared" si="1"/>
        <v>0</v>
      </c>
      <c r="N147" s="68">
        <f t="shared" si="1"/>
        <v>0</v>
      </c>
      <c r="O147" s="68">
        <f t="shared" si="1"/>
        <v>0</v>
      </c>
      <c r="P147" s="68">
        <f t="shared" si="1"/>
        <v>0</v>
      </c>
      <c r="Q147" s="68">
        <f t="shared" si="1"/>
        <v>0</v>
      </c>
      <c r="R147" s="68">
        <f t="shared" si="1"/>
        <v>0</v>
      </c>
      <c r="S147" s="68">
        <f t="shared" si="1"/>
        <v>0</v>
      </c>
      <c r="T147" s="68">
        <f t="shared" si="1"/>
        <v>0</v>
      </c>
      <c r="U147" s="68">
        <f t="shared" si="1"/>
        <v>0</v>
      </c>
      <c r="V147" s="68">
        <f t="shared" si="1"/>
        <v>0</v>
      </c>
      <c r="W147" s="68">
        <f t="shared" si="1"/>
        <v>0</v>
      </c>
      <c r="X147" s="68">
        <f t="shared" si="1"/>
        <v>0</v>
      </c>
      <c r="Y147" s="68">
        <f t="shared" si="1"/>
        <v>0</v>
      </c>
      <c r="Z147" s="68">
        <f t="shared" si="1"/>
        <v>0</v>
      </c>
      <c r="AA147" s="68">
        <f t="shared" si="1"/>
        <v>0</v>
      </c>
      <c r="AB147" s="68">
        <f t="shared" si="1"/>
        <v>0</v>
      </c>
      <c r="AC147" s="68">
        <f t="shared" si="1"/>
        <v>12</v>
      </c>
      <c r="AD147" s="68">
        <f t="shared" si="1"/>
        <v>12</v>
      </c>
      <c r="AE147" s="68">
        <f t="shared" si="1"/>
        <v>12</v>
      </c>
      <c r="AF147" s="68">
        <f t="shared" si="1"/>
        <v>12</v>
      </c>
      <c r="AG147" s="68">
        <f t="shared" si="1"/>
        <v>12</v>
      </c>
      <c r="AH147" s="68">
        <f t="shared" si="1"/>
        <v>12</v>
      </c>
      <c r="AI147" s="4"/>
    </row>
    <row r="148" spans="4:35" ht="18" customHeight="1">
      <c r="D148" s="1"/>
      <c r="F148" s="70" t="s">
        <v>20</v>
      </c>
      <c r="G148" s="70" t="s">
        <v>35</v>
      </c>
      <c r="H148" s="70" t="s">
        <v>20</v>
      </c>
      <c r="I148" s="70" t="s">
        <v>20</v>
      </c>
      <c r="J148" s="70" t="s">
        <v>20</v>
      </c>
      <c r="K148" s="70" t="s">
        <v>20</v>
      </c>
      <c r="L148" s="70" t="s">
        <v>20</v>
      </c>
      <c r="M148" s="70" t="s">
        <v>20</v>
      </c>
      <c r="N148" s="70" t="s">
        <v>20</v>
      </c>
      <c r="O148" s="70" t="s">
        <v>20</v>
      </c>
      <c r="P148" s="70" t="s">
        <v>20</v>
      </c>
      <c r="Q148" s="70" t="s">
        <v>20</v>
      </c>
      <c r="R148" s="70" t="s">
        <v>20</v>
      </c>
      <c r="S148" s="70" t="s">
        <v>20</v>
      </c>
      <c r="T148" s="70" t="s">
        <v>20</v>
      </c>
      <c r="U148" s="70" t="s">
        <v>20</v>
      </c>
      <c r="V148" s="70" t="s">
        <v>20</v>
      </c>
      <c r="W148" s="70" t="s">
        <v>20</v>
      </c>
      <c r="X148" s="70" t="s">
        <v>20</v>
      </c>
      <c r="Y148" s="70" t="s">
        <v>20</v>
      </c>
      <c r="Z148" s="70" t="s">
        <v>20</v>
      </c>
      <c r="AA148" s="70" t="s">
        <v>20</v>
      </c>
      <c r="AB148" s="70" t="s">
        <v>20</v>
      </c>
      <c r="AC148" s="70" t="s">
        <v>20</v>
      </c>
      <c r="AD148" s="70" t="s">
        <v>20</v>
      </c>
      <c r="AE148" s="70" t="s">
        <v>20</v>
      </c>
      <c r="AF148" s="70" t="s">
        <v>20</v>
      </c>
      <c r="AG148" s="70" t="s">
        <v>20</v>
      </c>
      <c r="AH148" s="70" t="s">
        <v>20</v>
      </c>
      <c r="AI148" s="4"/>
    </row>
    <row r="149" spans="4:35" ht="18" customHeight="1">
      <c r="D149" s="1"/>
      <c r="F149" s="68">
        <f t="shared" ref="F149:AH149" si="2">CountCcolor(F13:F140,F148)</f>
        <v>0</v>
      </c>
      <c r="G149" s="68">
        <f t="shared" si="2"/>
        <v>0</v>
      </c>
      <c r="H149" s="68">
        <f t="shared" si="2"/>
        <v>0</v>
      </c>
      <c r="I149" s="68">
        <f t="shared" si="2"/>
        <v>0</v>
      </c>
      <c r="J149" s="68">
        <f t="shared" si="2"/>
        <v>0</v>
      </c>
      <c r="K149" s="68">
        <f t="shared" si="2"/>
        <v>0</v>
      </c>
      <c r="L149" s="68">
        <f t="shared" si="2"/>
        <v>0</v>
      </c>
      <c r="M149" s="68">
        <f t="shared" si="2"/>
        <v>0</v>
      </c>
      <c r="N149" s="68">
        <f t="shared" si="2"/>
        <v>0</v>
      </c>
      <c r="O149" s="68">
        <f t="shared" si="2"/>
        <v>0</v>
      </c>
      <c r="P149" s="68">
        <f t="shared" si="2"/>
        <v>0</v>
      </c>
      <c r="Q149" s="68">
        <f t="shared" si="2"/>
        <v>0</v>
      </c>
      <c r="R149" s="68">
        <f t="shared" si="2"/>
        <v>0</v>
      </c>
      <c r="S149" s="68">
        <f t="shared" si="2"/>
        <v>0</v>
      </c>
      <c r="T149" s="68">
        <f t="shared" si="2"/>
        <v>0</v>
      </c>
      <c r="U149" s="68">
        <f t="shared" si="2"/>
        <v>0</v>
      </c>
      <c r="V149" s="68">
        <f t="shared" si="2"/>
        <v>0</v>
      </c>
      <c r="W149" s="68">
        <f t="shared" si="2"/>
        <v>0</v>
      </c>
      <c r="X149" s="68">
        <f t="shared" si="2"/>
        <v>0</v>
      </c>
      <c r="Y149" s="68">
        <f t="shared" si="2"/>
        <v>0</v>
      </c>
      <c r="Z149" s="68">
        <f t="shared" si="2"/>
        <v>0</v>
      </c>
      <c r="AA149" s="68">
        <f t="shared" si="2"/>
        <v>0</v>
      </c>
      <c r="AB149" s="68">
        <f t="shared" si="2"/>
        <v>0</v>
      </c>
      <c r="AC149" s="68">
        <f t="shared" si="2"/>
        <v>0</v>
      </c>
      <c r="AD149" s="68">
        <f t="shared" si="2"/>
        <v>0</v>
      </c>
      <c r="AE149" s="68">
        <f t="shared" si="2"/>
        <v>0</v>
      </c>
      <c r="AF149" s="68">
        <f t="shared" si="2"/>
        <v>0</v>
      </c>
      <c r="AG149" s="68">
        <f t="shared" si="2"/>
        <v>0</v>
      </c>
      <c r="AH149" s="68">
        <f t="shared" si="2"/>
        <v>0</v>
      </c>
      <c r="AI149" s="4"/>
    </row>
    <row r="150" spans="4:35" ht="18" customHeight="1">
      <c r="D150" s="1"/>
      <c r="F150" s="71" t="s">
        <v>21</v>
      </c>
      <c r="G150" s="71" t="s">
        <v>21</v>
      </c>
      <c r="H150" s="71" t="s">
        <v>21</v>
      </c>
      <c r="I150" s="71" t="s">
        <v>21</v>
      </c>
      <c r="J150" s="71" t="s">
        <v>21</v>
      </c>
      <c r="K150" s="71" t="s">
        <v>21</v>
      </c>
      <c r="L150" s="71" t="s">
        <v>21</v>
      </c>
      <c r="M150" s="71" t="s">
        <v>21</v>
      </c>
      <c r="N150" s="71" t="s">
        <v>21</v>
      </c>
      <c r="O150" s="71" t="s">
        <v>21</v>
      </c>
      <c r="P150" s="71" t="s">
        <v>21</v>
      </c>
      <c r="Q150" s="71" t="s">
        <v>21</v>
      </c>
      <c r="R150" s="71" t="s">
        <v>21</v>
      </c>
      <c r="S150" s="71" t="s">
        <v>21</v>
      </c>
      <c r="T150" s="71" t="s">
        <v>21</v>
      </c>
      <c r="U150" s="71" t="s">
        <v>21</v>
      </c>
      <c r="V150" s="71" t="s">
        <v>21</v>
      </c>
      <c r="W150" s="71" t="s">
        <v>21</v>
      </c>
      <c r="X150" s="71" t="s">
        <v>21</v>
      </c>
      <c r="Y150" s="71" t="s">
        <v>21</v>
      </c>
      <c r="Z150" s="71" t="s">
        <v>21</v>
      </c>
      <c r="AA150" s="71" t="s">
        <v>21</v>
      </c>
      <c r="AB150" s="71" t="s">
        <v>21</v>
      </c>
      <c r="AC150" s="71" t="s">
        <v>21</v>
      </c>
      <c r="AD150" s="71" t="s">
        <v>21</v>
      </c>
      <c r="AE150" s="71" t="s">
        <v>21</v>
      </c>
      <c r="AF150" s="71" t="s">
        <v>21</v>
      </c>
      <c r="AG150" s="71" t="s">
        <v>21</v>
      </c>
      <c r="AH150" s="71" t="s">
        <v>21</v>
      </c>
      <c r="AI150" s="4"/>
    </row>
    <row r="151" spans="4:35" ht="18" customHeight="1">
      <c r="D151" s="1"/>
      <c r="F151" s="68">
        <f t="shared" ref="F151:AH151" si="3">CountCcolor(F13:F140,F150)</f>
        <v>0</v>
      </c>
      <c r="G151" s="68">
        <f t="shared" si="3"/>
        <v>0</v>
      </c>
      <c r="H151" s="68">
        <f t="shared" si="3"/>
        <v>0</v>
      </c>
      <c r="I151" s="68">
        <f t="shared" si="3"/>
        <v>0</v>
      </c>
      <c r="J151" s="68">
        <f t="shared" si="3"/>
        <v>0</v>
      </c>
      <c r="K151" s="68">
        <f t="shared" si="3"/>
        <v>0</v>
      </c>
      <c r="L151" s="68">
        <f t="shared" si="3"/>
        <v>0</v>
      </c>
      <c r="M151" s="68">
        <f t="shared" si="3"/>
        <v>0</v>
      </c>
      <c r="N151" s="68">
        <f t="shared" si="3"/>
        <v>0</v>
      </c>
      <c r="O151" s="68">
        <f t="shared" si="3"/>
        <v>0</v>
      </c>
      <c r="P151" s="68">
        <f t="shared" si="3"/>
        <v>0</v>
      </c>
      <c r="Q151" s="68">
        <f t="shared" si="3"/>
        <v>0</v>
      </c>
      <c r="R151" s="68">
        <f t="shared" si="3"/>
        <v>0</v>
      </c>
      <c r="S151" s="68">
        <f t="shared" si="3"/>
        <v>0</v>
      </c>
      <c r="T151" s="68">
        <f t="shared" si="3"/>
        <v>0</v>
      </c>
      <c r="U151" s="68">
        <f t="shared" si="3"/>
        <v>0</v>
      </c>
      <c r="V151" s="68">
        <f t="shared" si="3"/>
        <v>0</v>
      </c>
      <c r="W151" s="68">
        <f t="shared" si="3"/>
        <v>0</v>
      </c>
      <c r="X151" s="68">
        <f t="shared" si="3"/>
        <v>0</v>
      </c>
      <c r="Y151" s="68">
        <f t="shared" si="3"/>
        <v>0</v>
      </c>
      <c r="Z151" s="68">
        <f t="shared" si="3"/>
        <v>0</v>
      </c>
      <c r="AA151" s="68">
        <f t="shared" si="3"/>
        <v>0</v>
      </c>
      <c r="AB151" s="68">
        <f t="shared" si="3"/>
        <v>0</v>
      </c>
      <c r="AC151" s="68">
        <f t="shared" si="3"/>
        <v>1</v>
      </c>
      <c r="AD151" s="68">
        <f t="shared" si="3"/>
        <v>1</v>
      </c>
      <c r="AE151" s="68">
        <f t="shared" si="3"/>
        <v>1</v>
      </c>
      <c r="AF151" s="68">
        <f t="shared" si="3"/>
        <v>1</v>
      </c>
      <c r="AG151" s="68">
        <f t="shared" si="3"/>
        <v>1</v>
      </c>
      <c r="AH151" s="68">
        <f t="shared" si="3"/>
        <v>1</v>
      </c>
      <c r="AI151" s="4"/>
    </row>
    <row r="153" spans="4:35" ht="18" customHeight="1">
      <c r="G153" s="117" t="s">
        <v>36</v>
      </c>
    </row>
    <row r="154" spans="4:35" ht="18" customHeight="1">
      <c r="G154" s="4">
        <v>10</v>
      </c>
    </row>
    <row r="155" spans="4:35" ht="18" customHeight="1">
      <c r="G155" s="4" t="s">
        <v>37</v>
      </c>
    </row>
    <row r="156" spans="4:35" ht="18" customHeight="1">
      <c r="G156" s="4">
        <v>27</v>
      </c>
    </row>
    <row r="157" spans="4:35" ht="18" customHeight="1">
      <c r="G157" s="4" t="s">
        <v>38</v>
      </c>
    </row>
    <row r="158" spans="4:35" ht="18" customHeight="1">
      <c r="G158" s="4">
        <v>80</v>
      </c>
    </row>
    <row r="159" spans="4:35" ht="18" customHeight="1">
      <c r="G159" s="4" t="s">
        <v>39</v>
      </c>
    </row>
    <row r="160" spans="4:35" ht="18" customHeight="1">
      <c r="G160" s="4">
        <v>0</v>
      </c>
    </row>
    <row r="161" spans="7:7" ht="18" customHeight="1">
      <c r="G161" s="4" t="s">
        <v>40</v>
      </c>
    </row>
    <row r="162" spans="7:7" ht="18" customHeight="1">
      <c r="G162" s="4">
        <v>0</v>
      </c>
    </row>
    <row r="163" spans="7:7" ht="18" customHeight="1">
      <c r="G163" s="4" t="s">
        <v>41</v>
      </c>
    </row>
    <row r="164" spans="7:7" ht="18" customHeight="1">
      <c r="G164" s="4">
        <v>0</v>
      </c>
    </row>
  </sheetData>
  <mergeCells count="12">
    <mergeCell ref="B131:B140"/>
    <mergeCell ref="B11:B12"/>
    <mergeCell ref="F11:M11"/>
    <mergeCell ref="N11:T11"/>
    <mergeCell ref="U11:AA11"/>
    <mergeCell ref="B63:B101"/>
    <mergeCell ref="B103:B129"/>
    <mergeCell ref="AB11:AH11"/>
    <mergeCell ref="C11:C12"/>
    <mergeCell ref="D11:D12"/>
    <mergeCell ref="E11:E12"/>
    <mergeCell ref="B13:B61"/>
  </mergeCells>
  <pageMargins left="0.70866141732283472" right="0.70866141732283472" top="0.74803149606299213" bottom="0.74803149606299213" header="0.31496062992125984" footer="0.31496062992125984"/>
  <pageSetup paperSize="9" scale="43" fitToHeight="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6"/>
  <sheetViews>
    <sheetView workbookViewId="0">
      <selection activeCell="S26" sqref="S26"/>
    </sheetView>
  </sheetViews>
  <sheetFormatPr defaultRowHeight="15"/>
  <cols>
    <col min="2" max="2" width="15.5703125" bestFit="1" customWidth="1"/>
    <col min="3" max="3" width="13.140625" style="4" customWidth="1"/>
    <col min="4" max="4" width="13.28515625" style="4" customWidth="1"/>
    <col min="5" max="5" width="17" style="4" customWidth="1"/>
    <col min="6" max="6" width="17" style="4" bestFit="1" customWidth="1"/>
  </cols>
  <sheetData>
    <row r="1" spans="2:6" ht="15.75" thickBot="1"/>
    <row r="2" spans="2:6" ht="15.75" thickBot="1">
      <c r="B2" s="79" t="str">
        <f>'Follow up'!F143</f>
        <v>Total nr of items</v>
      </c>
      <c r="C2" s="80" t="s">
        <v>22</v>
      </c>
      <c r="D2" s="80" t="s">
        <v>23</v>
      </c>
      <c r="E2" s="80" t="s">
        <v>29</v>
      </c>
      <c r="F2" s="81" t="s">
        <v>42</v>
      </c>
    </row>
    <row r="3" spans="2:6">
      <c r="B3" s="76" t="s">
        <v>24</v>
      </c>
      <c r="C3" s="77">
        <f>'Follow up'!F145</f>
        <v>0</v>
      </c>
      <c r="D3" s="78">
        <f>'Follow up'!N145</f>
        <v>0</v>
      </c>
      <c r="E3" s="78">
        <f>'Follow up'!U145</f>
        <v>0</v>
      </c>
      <c r="F3" s="78">
        <f>'Follow up'!AB145</f>
        <v>0</v>
      </c>
    </row>
    <row r="4" spans="2:6">
      <c r="B4" s="73" t="s">
        <v>28</v>
      </c>
      <c r="C4" s="55">
        <f>'Follow up'!F147</f>
        <v>0</v>
      </c>
      <c r="D4" s="7">
        <f>'Follow up'!N147</f>
        <v>0</v>
      </c>
      <c r="E4" s="7">
        <f>'Follow up'!U147</f>
        <v>0</v>
      </c>
      <c r="F4" s="7">
        <f>'Follow up'!AB147</f>
        <v>0</v>
      </c>
    </row>
    <row r="5" spans="2:6">
      <c r="B5" s="74" t="s">
        <v>27</v>
      </c>
      <c r="C5" s="55">
        <f>'Follow up'!F149</f>
        <v>0</v>
      </c>
      <c r="D5" s="7">
        <f>'Follow up'!N149</f>
        <v>0</v>
      </c>
      <c r="E5" s="7">
        <f>'Follow up'!U149</f>
        <v>0</v>
      </c>
      <c r="F5" s="7">
        <f>'Follow up'!AB149</f>
        <v>0</v>
      </c>
    </row>
    <row r="6" spans="2:6" ht="15.75" thickBot="1">
      <c r="B6" s="75" t="s">
        <v>25</v>
      </c>
      <c r="C6" s="55">
        <f>'Follow up'!F151</f>
        <v>0</v>
      </c>
      <c r="D6" s="7">
        <f>'Follow up'!N151</f>
        <v>0</v>
      </c>
      <c r="E6" s="7">
        <f>'Follow up'!U151</f>
        <v>0</v>
      </c>
      <c r="F6" s="7">
        <f>'Follow up'!AB151</f>
        <v>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Follow up</vt:lpstr>
      <vt:lpstr>Status</vt:lpstr>
    </vt:vector>
  </TitlesOfParts>
  <Company>Lenovo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方利志</dc:creator>
  <cp:lastModifiedBy>Anna Mörkerdal</cp:lastModifiedBy>
  <cp:lastPrinted>2015-06-09T11:20:25Z</cp:lastPrinted>
  <dcterms:created xsi:type="dcterms:W3CDTF">2014-12-04T07:29:44Z</dcterms:created>
  <dcterms:modified xsi:type="dcterms:W3CDTF">2016-06-07T08:19:00Z</dcterms:modified>
</cp:coreProperties>
</file>