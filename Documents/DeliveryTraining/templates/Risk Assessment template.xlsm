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360" yWindow="285" windowWidth="9690" windowHeight="7110" tabRatio="781" firstSheet="1" activeTab="1"/>
  </bookViews>
  <sheets>
    <sheet name="SignOff" sheetId="35" state="veryHidden" r:id="rId1"/>
    <sheet name="Risk Assessment" sheetId="41" r:id="rId2"/>
    <sheet name="Risk Priority Matrix" sheetId="32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1" hidden="1">'Risk Assessment'!$A$22:$N$22</definedName>
    <definedName name="a_man" localSheetId="0">[1]DRBFM!#REF!</definedName>
    <definedName name="a_man">[1]DRBFM!#REF!</definedName>
    <definedName name="a_man_date" localSheetId="0">[1]DRBFM!#REF!</definedName>
    <definedName name="a_man_date">[1]DRBFM!#REF!</definedName>
    <definedName name="a_man_resp" localSheetId="0">[1]DRBFM!#REF!</definedName>
    <definedName name="a_man_resp">[1]DRBFM!#REF!</definedName>
    <definedName name="a_val" localSheetId="0">[1]DRBFM!#REF!</definedName>
    <definedName name="a_val">[1]DRBFM!#REF!</definedName>
    <definedName name="a_val_date" localSheetId="0">[1]DRBFM!#REF!</definedName>
    <definedName name="a_val_date">[1]DRBFM!#REF!</definedName>
    <definedName name="a_val_resp" localSheetId="0">[1]DRBFM!#REF!</definedName>
    <definedName name="a_val_resp">[1]DRBFM!#REF!</definedName>
    <definedName name="aaatestrange" localSheetId="0">#REF!</definedName>
    <definedName name="aaatestrange">#REF!</definedName>
    <definedName name="compDate">'[1]Master Data0'!$B$22</definedName>
    <definedName name="Data_Area">#N/A</definedName>
    <definedName name="_xlnm.Database" localSheetId="0">[2]FMEA!$A$4:$AD$34</definedName>
    <definedName name="_xlnm.Database">[3]FMEA!$A$4:$AD$34</definedName>
    <definedName name="date" localSheetId="0">#REF!</definedName>
    <definedName name="date">#REF!</definedName>
    <definedName name="def_row" localSheetId="0">#REF!</definedName>
    <definedName name="def_row">#REF!</definedName>
    <definedName name="descript" localSheetId="0">'[1]Master Data0'!$B$2</definedName>
    <definedName name="descript">'[4]DFMEA-DRBFM'!$H$1</definedName>
    <definedName name="drbfm_engine">'[1]Master Data0'!$B$12</definedName>
    <definedName name="drbfm_item">#REF!</definedName>
    <definedName name="drbfm_trans">'[1]Master Data0'!$B$11</definedName>
    <definedName name="drbfmNo" localSheetId="0">'[1]Master Data0'!$B$3</definedName>
    <definedName name="drbfmNo">'[4]DFMEA-DRBFM'!$T$1</definedName>
    <definedName name="eval_col" localSheetId="0">#REF!</definedName>
    <definedName name="eval_col">#REF!</definedName>
    <definedName name="fmea_action_responsible">#REF!</definedName>
    <definedName name="fmea_action_taken">#REF!</definedName>
    <definedName name="fmea_action_target_completion_date">#REF!</definedName>
    <definedName name="fmea_detection_1">#REF!</definedName>
    <definedName name="fmea_detection_2">#REF!</definedName>
    <definedName name="fmea_dummy_row">#REF!</definedName>
    <definedName name="fmea_failure_mode">#REF!</definedName>
    <definedName name="fmea_function">#REF!</definedName>
    <definedName name="fmea_function_requirement">#REF!</definedName>
    <definedName name="fmea_header_last_col_indicator">#REF!</definedName>
    <definedName name="fmea_interface">#REF!</definedName>
    <definedName name="fmea_interface_design">#REF!</definedName>
    <definedName name="fmea_key">#REF!</definedName>
    <definedName name="fmea_occurance_1">#REF!</definedName>
    <definedName name="fmea_occurance_2">#REF!</definedName>
    <definedName name="fmea_recommended_actions">#REF!</definedName>
    <definedName name="fmea_review_item">#REF!</definedName>
    <definedName name="fmea_risk_evaluation_1">#REF!</definedName>
    <definedName name="fmea_risk_evaluation_2">#REF!</definedName>
    <definedName name="fmea_risk_evaluation_enabled_disabled">#REF!</definedName>
    <definedName name="fmea_severity_1">#REF!</definedName>
    <definedName name="fmea_severity_2">#REF!</definedName>
    <definedName name="fmea_status">#REF!</definedName>
    <definedName name="frsusp01" localSheetId="0">[2]FMEA!$A$4:$AD$34</definedName>
    <definedName name="frsusp01">[3]FMEA!$A$4:$AD$34</definedName>
    <definedName name="function">#REF!</definedName>
    <definedName name="function_key">#REF!</definedName>
    <definedName name="function_requirement">#REF!</definedName>
    <definedName name="Graph_data">#N/A</definedName>
    <definedName name="interface">#REF!</definedName>
    <definedName name="interface_design">#REF!</definedName>
    <definedName name="interface_key">#REF!</definedName>
    <definedName name="kcds_aqc_end_ref">#REF!</definedName>
    <definedName name="kcds_aqc_start_ref">#REF!</definedName>
    <definedName name="kcds_aqc_status">#REF!</definedName>
    <definedName name="kcds_aqc_what_to_do">#REF!</definedName>
    <definedName name="kcds_aqc_what_was_done">#REF!</definedName>
    <definedName name="kcds_aqc_yes_no">#REF!</definedName>
    <definedName name="kcds_end_ref">#REF!</definedName>
    <definedName name="kcds_questions_back_to_kcds">#REF!</definedName>
    <definedName name="kcds_see_kcds_questions">#REF!</definedName>
    <definedName name="kcds_status">#REF!</definedName>
    <definedName name="kcds_what_to_do">#REF!</definedName>
    <definedName name="kcds_what_was_done">#REF!</definedName>
    <definedName name="Last_Line">#N/A</definedName>
    <definedName name="Line_Number">#N/A</definedName>
    <definedName name="matrix_function_end_row_ref">#REF!</definedName>
    <definedName name="matrix_interface_end_column_ref">#REF!</definedName>
    <definedName name="matrix_row_number">#REF!</definedName>
    <definedName name="matrix_upper_left_corner">#REF!</definedName>
    <definedName name="md_fmea_actions">#REF!</definedName>
    <definedName name="md_fmea_completion_date">#REF!</definedName>
    <definedName name="md_fmea_issue">#REF!</definedName>
    <definedName name="md_fmea_issue_date">#REF!</definedName>
    <definedName name="md_fmea_phase">#REF!</definedName>
    <definedName name="md_fmea_registration_no">#REF!</definedName>
    <definedName name="md_fmea_responsible_engineer">#REF!</definedName>
    <definedName name="md_fmea_risk_status">#REF!</definedName>
    <definedName name="md_fmea_risk_summary">#REF!</definedName>
    <definedName name="md_fmea_scope">#REF!</definedName>
    <definedName name="md_fmea_start_date">#REF!</definedName>
    <definedName name="md_inputs_to_fmea_required">#REF!</definedName>
    <definedName name="md_kcds_actions">#REF!</definedName>
    <definedName name="md_kcds_aqc_actions">#REF!</definedName>
    <definedName name="md_notes">#REF!</definedName>
    <definedName name="md_show_hide_help_rows">#REF!</definedName>
    <definedName name="md_sign_off_sheet_insert_object">#REF!</definedName>
    <definedName name="md_sign_off_status">#REF!</definedName>
    <definedName name="my" localSheetId="0">'[1]Master Data0'!$B$5</definedName>
    <definedName name="my">'[4]DFMEA-DRBFM'!$H$2</definedName>
    <definedName name="notes_date">#REF!</definedName>
    <definedName name="notes_notes">#REF!</definedName>
    <definedName name="notes_ref_no">#REF!</definedName>
    <definedName name="notes_table_end_ref">#REF!</definedName>
    <definedName name="origdate">'[1]Master Data0'!$B$18</definedName>
    <definedName name="part" localSheetId="0">#REF!</definedName>
    <definedName name="part">#REF!</definedName>
    <definedName name="Pr_area">#N/A</definedName>
    <definedName name="preparer">'[1]Master Data0'!$B$17</definedName>
    <definedName name="proc" localSheetId="0">#REF!</definedName>
    <definedName name="proc">#REF!</definedName>
    <definedName name="program" localSheetId="0">'[1]Master Data0'!$B$6</definedName>
    <definedName name="program">'[4]DFMEA-DRBFM'!$H$3</definedName>
    <definedName name="r_color" localSheetId="0">#REF!</definedName>
    <definedName name="r_color">#REF!</definedName>
    <definedName name="resp">'[1]Master Data0'!$B$13</definedName>
    <definedName name="revdate">'[1]Master Data0'!$B$20</definedName>
    <definedName name="review_start" localSheetId="0">#REF!</definedName>
    <definedName name="review_start">#REF!</definedName>
    <definedName name="revno">'[1]Master Data0'!$B$19</definedName>
    <definedName name="riskgraphs_sev_vs_det_start_corner">'Risk Priority Matrix'!#REF!</definedName>
    <definedName name="riskgraphs_sev_vs_occ_start_corner">'Risk Priority Matrix'!$C$12</definedName>
    <definedName name="SignOf">#REF!</definedName>
    <definedName name="t_color" localSheetId="0">#REF!</definedName>
    <definedName name="t_color">#REF!</definedName>
    <definedName name="team_date_end_ref">#REF!</definedName>
    <definedName name="team_date_start_ref">#REF!</definedName>
    <definedName name="team_fmea_issue">#REF!</definedName>
    <definedName name="team_fmea_phase">#REF!</definedName>
    <definedName name="team_session_date">#REF!</definedName>
    <definedName name="test_start" localSheetId="0">#REF!</definedName>
    <definedName name="test_start">#REF!</definedName>
    <definedName name="_xlnm.Extract">#N/A</definedName>
    <definedName name="User_file">"DESIGN.FP"</definedName>
    <definedName name="_xlnm.Criteria">#N/A</definedName>
    <definedName name="vpps">'[1]Master Data0'!$B$10</definedName>
  </definedNames>
  <calcPr calcId="145621"/>
</workbook>
</file>

<file path=xl/calcChain.xml><?xml version="1.0" encoding="utf-8"?>
<calcChain xmlns="http://schemas.openxmlformats.org/spreadsheetml/2006/main">
  <c r="B5" i="35" l="1"/>
  <c r="B6" i="35"/>
</calcChain>
</file>

<file path=xl/comments1.xml><?xml version="1.0" encoding="utf-8"?>
<comments xmlns="http://schemas.openxmlformats.org/spreadsheetml/2006/main">
  <authors>
    <author>Windows User</author>
  </authors>
  <commentList>
    <comment ref="D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Affected area</t>
        </r>
      </text>
    </comment>
    <comment ref="G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According to Risk Matrix</t>
        </r>
      </text>
    </comment>
    <comment ref="J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Explain what actions will be taken to prevent risks. To be filled in by the Responsible.</t>
        </r>
      </text>
    </comment>
    <comment ref="M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Open/Closed
Closed when action taken</t>
        </r>
      </text>
    </comment>
  </commentList>
</comments>
</file>

<file path=xl/sharedStrings.xml><?xml version="1.0" encoding="utf-8"?>
<sst xmlns="http://schemas.openxmlformats.org/spreadsheetml/2006/main" count="96" uniqueCount="68">
  <si>
    <t>G</t>
  </si>
  <si>
    <t>R</t>
  </si>
  <si>
    <t>Y</t>
  </si>
  <si>
    <t>Responsible Engineer</t>
  </si>
  <si>
    <t>(only needed if RED items are contained)</t>
  </si>
  <si>
    <t>Rejected</t>
  </si>
  <si>
    <t>Approved</t>
  </si>
  <si>
    <t>Document Status:</t>
  </si>
  <si>
    <t>VSE</t>
  </si>
  <si>
    <t>Chief Engineer</t>
  </si>
  <si>
    <t>Date &amp; Signature:</t>
  </si>
  <si>
    <t xml:space="preserve">Issue:                                            </t>
  </si>
  <si>
    <t>Document Number:</t>
  </si>
  <si>
    <r>
      <t xml:space="preserve">To hide Help rows click </t>
    </r>
    <r>
      <rPr>
        <b/>
        <i/>
        <sz val="14"/>
        <color theme="0" tint="-0.499984740745262"/>
        <rFont val="Tahoma"/>
        <family val="2"/>
      </rPr>
      <t>-</t>
    </r>
    <r>
      <rPr>
        <b/>
        <i/>
        <sz val="10"/>
        <color theme="0" tint="-0.499984740745262"/>
        <rFont val="Tahoma"/>
        <family val="2"/>
      </rPr>
      <t xml:space="preserve"> on left side.</t>
    </r>
  </si>
  <si>
    <r>
      <t xml:space="preserve">            Sign Off  Sheet - </t>
    </r>
    <r>
      <rPr>
        <sz val="14"/>
        <color theme="1"/>
        <rFont val="Tahoma"/>
        <family val="2"/>
      </rPr>
      <t>FMEA including KCDS</t>
    </r>
  </si>
  <si>
    <r>
      <rPr>
        <b/>
        <i/>
        <sz val="10"/>
        <color theme="0" tint="-0.499984740745262"/>
        <rFont val="Tahoma"/>
        <family val="2"/>
      </rPr>
      <t xml:space="preserve">To hide Help rows click </t>
    </r>
    <r>
      <rPr>
        <b/>
        <i/>
        <sz val="14"/>
        <color theme="0" tint="-0.499984740745262"/>
        <rFont val="Tahoma"/>
        <family val="2"/>
      </rPr>
      <t>-</t>
    </r>
    <r>
      <rPr>
        <b/>
        <i/>
        <sz val="10"/>
        <color theme="0" tint="-0.499984740745262"/>
        <rFont val="Tahoma"/>
        <family val="2"/>
      </rPr>
      <t xml:space="preserve"> on left side.</t>
    </r>
    <r>
      <rPr>
        <i/>
        <sz val="10"/>
        <color theme="0" tint="-0.499984740745262"/>
        <rFont val="Tahoma"/>
        <family val="2"/>
      </rPr>
      <t xml:space="preserve">
Shaded fields are automatically updated from MasterData sheet.
</t>
    </r>
    <r>
      <rPr>
        <i/>
        <u/>
        <sz val="10"/>
        <color theme="0" tint="-0.499984740745262"/>
        <rFont val="Tahoma"/>
        <family val="2"/>
      </rPr>
      <t>Approved:</t>
    </r>
    <r>
      <rPr>
        <i/>
        <sz val="10"/>
        <color theme="0" tint="-0.499984740745262"/>
        <rFont val="Tahoma"/>
        <family val="2"/>
      </rPr>
      <t xml:space="preserve"> If RED items are contained explaination is required, use Notes sheet.
</t>
    </r>
    <r>
      <rPr>
        <i/>
        <u/>
        <sz val="10"/>
        <color theme="0" tint="-0.499984740745262"/>
        <rFont val="Tahoma"/>
        <family val="2"/>
      </rPr>
      <t>Rejected:</t>
    </r>
    <r>
      <rPr>
        <i/>
        <sz val="10"/>
        <color theme="0" tint="-0.499984740745262"/>
        <rFont val="Tahoma"/>
        <family val="2"/>
      </rPr>
      <t xml:space="preserve"> Reason/explaination is required, use Notes sheet.
</t>
    </r>
    <r>
      <rPr>
        <i/>
        <u/>
        <sz val="10"/>
        <color theme="0" tint="-0.499984740745262"/>
        <rFont val="Tahoma"/>
        <family val="2"/>
      </rPr>
      <t>Add reference/s to Notes in Master Data sheet -  "Sign Off Notes" field.</t>
    </r>
  </si>
  <si>
    <t xml:space="preserve"> Action required</t>
  </si>
  <si>
    <t xml:space="preserve"> Action may be required. Discuss feasability.</t>
  </si>
  <si>
    <t xml:space="preserve"> Ok</t>
  </si>
  <si>
    <t>Risk Rating</t>
  </si>
  <si>
    <t>Consequence</t>
  </si>
  <si>
    <t>Almost certain</t>
  </si>
  <si>
    <t>Likely</t>
  </si>
  <si>
    <t>Moderate</t>
  </si>
  <si>
    <t>Unlikely</t>
  </si>
  <si>
    <t>Rare</t>
  </si>
  <si>
    <t>Negligible</t>
  </si>
  <si>
    <t>Minor</t>
  </si>
  <si>
    <t>Severe</t>
  </si>
  <si>
    <t>Significant</t>
  </si>
  <si>
    <t>Low</t>
  </si>
  <si>
    <t>High</t>
  </si>
  <si>
    <t>Responsible</t>
  </si>
  <si>
    <t>Category</t>
  </si>
  <si>
    <t>Risk description</t>
  </si>
  <si>
    <t>Risk Effect</t>
  </si>
  <si>
    <t>Risk Priority</t>
  </si>
  <si>
    <t>Risk reduction action</t>
  </si>
  <si>
    <t>Risk Handling Plan</t>
  </si>
  <si>
    <t>Status</t>
  </si>
  <si>
    <t>Page:</t>
  </si>
  <si>
    <t>Version:</t>
  </si>
  <si>
    <t>Class:</t>
  </si>
  <si>
    <t>Name of document:</t>
  </si>
  <si>
    <t>Type:</t>
  </si>
  <si>
    <t>Issued by:</t>
  </si>
  <si>
    <t>Sign:</t>
  </si>
  <si>
    <t>Date:</t>
  </si>
  <si>
    <t>Approved by:</t>
  </si>
  <si>
    <t>Project name</t>
  </si>
  <si>
    <t>Date</t>
  </si>
  <si>
    <t>Project no.</t>
  </si>
  <si>
    <t>Project Manager</t>
  </si>
  <si>
    <t>Customer</t>
  </si>
  <si>
    <t>Customer Contact</t>
  </si>
  <si>
    <t>Project Description</t>
  </si>
  <si>
    <t>I</t>
  </si>
  <si>
    <t>#</t>
  </si>
  <si>
    <t>Project Risk Assessment</t>
  </si>
  <si>
    <t>Risk Priority Matrix</t>
  </si>
  <si>
    <t>Closing date</t>
  </si>
  <si>
    <t>This document requires signatures from both parties.</t>
  </si>
  <si>
    <t>We hereby fully understand and recognize the risks stated in this document. The Responsible is obligated to have a Risk Handling Plan for all High priority risks.</t>
  </si>
  <si>
    <t>Signatures</t>
  </si>
  <si>
    <t>T-Engineering AB</t>
  </si>
  <si>
    <t>Reg.no:</t>
    <phoneticPr fontId="37" type="noConversion"/>
  </si>
  <si>
    <t>Updated Date:</t>
  </si>
  <si>
    <t>Creation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</si>
</sst>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_(* #,##0.00_);_(* \(#,##0.00\);_(* &quot;-&quot;??_);_(@_)"/>
  </numFmts>
  <fonts count="38">
    <font>
      <sz val="10"/>
      <name val="Opel Sans"/>
    </font>
    <font>
      <sz val="11"/>
      <color theme="1"/>
      <name val="Georgia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8"/>
      <name val="Helv"/>
    </font>
    <font>
      <sz val="24"/>
      <name val="Times New Roman"/>
      <family val="1"/>
    </font>
    <font>
      <sz val="10"/>
      <name val="Opel Sans"/>
      <family val="2"/>
    </font>
    <font>
      <sz val="10"/>
      <name val="Tahoma"/>
      <family val="2"/>
    </font>
    <font>
      <i/>
      <sz val="10"/>
      <name val="Tahoma"/>
      <family val="2"/>
    </font>
    <font>
      <sz val="12"/>
      <name val="Tahoma"/>
      <family val="2"/>
    </font>
    <font>
      <i/>
      <sz val="10"/>
      <color theme="0" tint="-0.499984740745262"/>
      <name val="Tahoma"/>
      <family val="2"/>
    </font>
    <font>
      <sz val="11"/>
      <name val="Tahoma"/>
      <family val="2"/>
    </font>
    <font>
      <sz val="18"/>
      <color theme="1"/>
      <name val="Tahoma"/>
      <family val="2"/>
    </font>
    <font>
      <b/>
      <i/>
      <sz val="10"/>
      <color theme="0" tint="-0.499984740745262"/>
      <name val="Tahoma"/>
      <family val="2"/>
    </font>
    <font>
      <b/>
      <i/>
      <sz val="14"/>
      <color theme="0" tint="-0.499984740745262"/>
      <name val="Tahoma"/>
      <family val="2"/>
    </font>
    <font>
      <sz val="10"/>
      <color theme="0" tint="-0.499984740745262"/>
      <name val="Tahoma"/>
      <family val="2"/>
    </font>
    <font>
      <i/>
      <u/>
      <sz val="10"/>
      <color theme="0" tint="-0.499984740745262"/>
      <name val="Tahoma"/>
      <family val="2"/>
    </font>
    <font>
      <sz val="18"/>
      <color theme="0" tint="-0.499984740745262"/>
      <name val="Tahoma"/>
      <family val="2"/>
    </font>
    <font>
      <sz val="12"/>
      <color theme="0" tint="-0.499984740745262"/>
      <name val="Tahoma"/>
      <family val="2"/>
    </font>
    <font>
      <sz val="14"/>
      <color theme="1"/>
      <name val="Tahoma"/>
      <family val="2"/>
    </font>
    <font>
      <i/>
      <sz val="18"/>
      <color theme="1"/>
      <name val="Tahoma"/>
      <family val="2"/>
    </font>
    <font>
      <sz val="12"/>
      <color theme="1"/>
      <name val="Tahoma"/>
      <family val="2"/>
    </font>
    <font>
      <i/>
      <sz val="18"/>
      <color theme="0" tint="-0.499984740745262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Georgia"/>
      <family val="2"/>
      <scheme val="minor"/>
    </font>
    <font>
      <b/>
      <sz val="16"/>
      <color theme="1"/>
      <name val="Georgia"/>
      <family val="1"/>
      <scheme val="major"/>
    </font>
    <font>
      <sz val="10"/>
      <color theme="1"/>
      <name val="Georgia"/>
      <family val="2"/>
      <scheme val="minor"/>
    </font>
    <font>
      <sz val="8"/>
      <color theme="1"/>
      <name val="Calibri"/>
      <family val="2"/>
    </font>
    <font>
      <b/>
      <sz val="12"/>
      <color theme="1"/>
      <name val="Cambria"/>
      <family val="1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24"/>
      <name val="Tahoma"/>
      <family val="2"/>
    </font>
    <font>
      <sz val="10"/>
      <color rgb="FFFF0000"/>
      <name val="Calibri"/>
      <family val="2"/>
    </font>
    <font>
      <sz val="10"/>
      <color rgb="FF000000"/>
      <name val="Calibri"/>
      <family val="2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4" fillId="0" borderId="1" applyBorder="0" applyAlignment="0">
      <alignment horizontal="left" vertical="center"/>
      <protection locked="0"/>
    </xf>
    <xf numFmtId="0" fontId="3" fillId="0" borderId="0"/>
    <xf numFmtId="0" fontId="5" fillId="0" borderId="1" applyNumberFormat="0" applyFill="0" applyBorder="0" applyProtection="0">
      <alignment horizontal="center" vertical="center"/>
      <protection locked="0"/>
    </xf>
    <xf numFmtId="0" fontId="6" fillId="0" borderId="0"/>
    <xf numFmtId="0" fontId="6" fillId="0" borderId="0"/>
    <xf numFmtId="0" fontId="2" fillId="0" borderId="0"/>
    <xf numFmtId="0" fontId="2" fillId="0" borderId="0"/>
    <xf numFmtId="0" fontId="1" fillId="0" borderId="0"/>
    <xf numFmtId="165" fontId="2" fillId="0" borderId="0" applyFont="0" applyFill="0" applyBorder="0" applyAlignment="0" applyProtection="0"/>
    <xf numFmtId="0" fontId="2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/>
  </cellStyleXfs>
  <cellXfs count="136">
    <xf numFmtId="0" fontId="0" fillId="0" borderId="0" xfId="0"/>
    <xf numFmtId="164" fontId="8" fillId="0" borderId="0" xfId="4" applyNumberFormat="1" applyFont="1" applyFill="1" applyBorder="1" applyAlignment="1">
      <alignment horizontal="left" vertical="center" wrapText="1"/>
    </xf>
    <xf numFmtId="0" fontId="7" fillId="0" borderId="0" xfId="6" applyFont="1"/>
    <xf numFmtId="0" fontId="7" fillId="0" borderId="10" xfId="6" applyFont="1" applyBorder="1"/>
    <xf numFmtId="0" fontId="7" fillId="0" borderId="0" xfId="6" applyFont="1" applyBorder="1"/>
    <xf numFmtId="0" fontId="7" fillId="0" borderId="11" xfId="6" applyFont="1" applyBorder="1"/>
    <xf numFmtId="0" fontId="7" fillId="0" borderId="0" xfId="6" applyFont="1" applyBorder="1" applyAlignment="1">
      <alignment horizontal="center" vertical="center"/>
    </xf>
    <xf numFmtId="0" fontId="7" fillId="0" borderId="6" xfId="6" applyFont="1" applyFill="1" applyBorder="1"/>
    <xf numFmtId="0" fontId="7" fillId="0" borderId="16" xfId="6" applyFont="1" applyFill="1" applyBorder="1"/>
    <xf numFmtId="0" fontId="7" fillId="0" borderId="17" xfId="6" applyFont="1" applyFill="1" applyBorder="1"/>
    <xf numFmtId="0" fontId="9" fillId="0" borderId="0" xfId="6" applyFont="1" applyBorder="1"/>
    <xf numFmtId="0" fontId="7" fillId="0" borderId="9" xfId="6" applyFont="1" applyBorder="1"/>
    <xf numFmtId="0" fontId="7" fillId="0" borderId="7" xfId="6" applyFont="1" applyBorder="1"/>
    <xf numFmtId="0" fontId="7" fillId="0" borderId="8" xfId="6" applyFont="1" applyBorder="1"/>
    <xf numFmtId="0" fontId="18" fillId="0" borderId="10" xfId="7" applyFont="1" applyBorder="1" applyAlignment="1">
      <alignment vertical="center"/>
    </xf>
    <xf numFmtId="0" fontId="18" fillId="0" borderId="0" xfId="7" applyFont="1" applyBorder="1" applyAlignment="1">
      <alignment vertical="center"/>
    </xf>
    <xf numFmtId="0" fontId="18" fillId="0" borderId="0" xfId="7" applyFont="1" applyAlignment="1">
      <alignment vertical="center"/>
    </xf>
    <xf numFmtId="0" fontId="18" fillId="0" borderId="11" xfId="7" applyFont="1" applyBorder="1" applyAlignment="1">
      <alignment vertical="center"/>
    </xf>
    <xf numFmtId="0" fontId="7" fillId="0" borderId="0" xfId="6" applyFont="1" applyAlignment="1"/>
    <xf numFmtId="0" fontId="7" fillId="0" borderId="0" xfId="6" applyFont="1" applyFill="1" applyBorder="1"/>
    <xf numFmtId="0" fontId="7" fillId="0" borderId="20" xfId="6" applyFont="1" applyBorder="1" applyAlignment="1">
      <alignment horizontal="left" vertical="top" wrapText="1" indent="2"/>
    </xf>
    <xf numFmtId="0" fontId="7" fillId="0" borderId="21" xfId="6" applyFont="1" applyBorder="1" applyAlignment="1">
      <alignment horizontal="center" vertical="top" wrapText="1"/>
    </xf>
    <xf numFmtId="0" fontId="7" fillId="0" borderId="10" xfId="6" applyFont="1" applyBorder="1" applyAlignment="1">
      <alignment horizontal="left" vertical="top" wrapText="1" indent="2"/>
    </xf>
    <xf numFmtId="0" fontId="7" fillId="0" borderId="0" xfId="6" applyFont="1" applyAlignment="1">
      <alignment horizontal="center"/>
    </xf>
    <xf numFmtId="0" fontId="7" fillId="0" borderId="0" xfId="6" applyFont="1" applyAlignment="1">
      <alignment wrapText="1"/>
    </xf>
    <xf numFmtId="0" fontId="7" fillId="0" borderId="10" xfId="6" applyFont="1" applyBorder="1" applyAlignment="1">
      <alignment horizontal="left" vertical="top" indent="2"/>
    </xf>
    <xf numFmtId="0" fontId="7" fillId="0" borderId="8" xfId="6" applyFont="1" applyBorder="1" applyAlignment="1">
      <alignment horizontal="left" vertical="top" indent="2"/>
    </xf>
    <xf numFmtId="0" fontId="7" fillId="0" borderId="22" xfId="6" applyFont="1" applyBorder="1" applyAlignment="1">
      <alignment horizontal="center" vertical="top" wrapText="1"/>
    </xf>
    <xf numFmtId="0" fontId="8" fillId="3" borderId="2" xfId="4" applyNumberFormat="1" applyFont="1" applyFill="1" applyBorder="1" applyAlignment="1">
      <alignment horizontal="left" vertical="center" wrapText="1"/>
    </xf>
    <xf numFmtId="164" fontId="8" fillId="3" borderId="12" xfId="4" applyNumberFormat="1" applyFont="1" applyFill="1" applyBorder="1" applyAlignment="1">
      <alignment horizontal="left" vertical="center" wrapText="1"/>
    </xf>
    <xf numFmtId="0" fontId="9" fillId="0" borderId="0" xfId="6" applyFont="1" applyFill="1" applyBorder="1" applyAlignment="1">
      <alignment horizontal="right" vertical="center" wrapText="1" indent="2"/>
    </xf>
    <xf numFmtId="0" fontId="21" fillId="4" borderId="18" xfId="6" applyFont="1" applyFill="1" applyBorder="1" applyAlignment="1">
      <alignment horizontal="left" vertical="center" wrapText="1" indent="1"/>
    </xf>
    <xf numFmtId="0" fontId="21" fillId="4" borderId="21" xfId="6" applyFont="1" applyFill="1" applyBorder="1" applyAlignment="1">
      <alignment horizontal="center" vertical="center" wrapText="1"/>
    </xf>
    <xf numFmtId="0" fontId="9" fillId="0" borderId="10" xfId="6" applyFont="1" applyBorder="1" applyAlignment="1">
      <alignment horizontal="left" vertical="top" indent="2"/>
    </xf>
    <xf numFmtId="0" fontId="9" fillId="0" borderId="23" xfId="6" applyFont="1" applyBorder="1" applyAlignment="1">
      <alignment horizontal="center" vertical="top" wrapText="1"/>
    </xf>
    <xf numFmtId="0" fontId="9" fillId="0" borderId="24" xfId="6" applyFont="1" applyBorder="1" applyAlignment="1">
      <alignment horizontal="center" vertical="top" wrapText="1"/>
    </xf>
    <xf numFmtId="0" fontId="15" fillId="0" borderId="0" xfId="6" applyFont="1" applyFill="1"/>
    <xf numFmtId="0" fontId="17" fillId="0" borderId="0" xfId="6" applyFont="1" applyFill="1" applyBorder="1" applyAlignment="1">
      <alignment horizontal="left" vertical="center" wrapText="1"/>
    </xf>
    <xf numFmtId="0" fontId="22" fillId="0" borderId="0" xfId="6" applyFont="1" applyFill="1" applyBorder="1" applyAlignment="1">
      <alignment horizontal="left" vertical="center" wrapText="1"/>
    </xf>
    <xf numFmtId="0" fontId="21" fillId="4" borderId="18" xfId="6" applyFont="1" applyFill="1" applyBorder="1" applyAlignment="1">
      <alignment horizontal="right" vertical="center" wrapText="1" indent="1"/>
    </xf>
    <xf numFmtId="0" fontId="11" fillId="0" borderId="0" xfId="6" applyFont="1" applyBorder="1"/>
    <xf numFmtId="0" fontId="7" fillId="0" borderId="0" xfId="6" applyFont="1" applyBorder="1" applyAlignment="1">
      <alignment horizontal="center" vertical="center" wrapText="1"/>
    </xf>
    <xf numFmtId="0" fontId="7" fillId="6" borderId="0" xfId="6" applyFont="1" applyFill="1" applyBorder="1" applyAlignment="1">
      <alignment horizontal="center" vertical="center"/>
    </xf>
    <xf numFmtId="0" fontId="7" fillId="5" borderId="0" xfId="6" applyFont="1" applyFill="1" applyBorder="1" applyAlignment="1">
      <alignment horizontal="center" vertical="center"/>
    </xf>
    <xf numFmtId="0" fontId="7" fillId="7" borderId="0" xfId="6" applyFont="1" applyFill="1" applyBorder="1" applyAlignment="1">
      <alignment horizontal="center" vertical="center"/>
    </xf>
    <xf numFmtId="0" fontId="7" fillId="0" borderId="11" xfId="6" applyFont="1" applyBorder="1" applyAlignment="1"/>
    <xf numFmtId="0" fontId="7" fillId="0" borderId="19" xfId="6" applyFont="1" applyFill="1" applyBorder="1"/>
    <xf numFmtId="0" fontId="0" fillId="0" borderId="0" xfId="0" applyAlignment="1">
      <alignment vertical="center"/>
    </xf>
    <xf numFmtId="0" fontId="31" fillId="0" borderId="0" xfId="0" applyFont="1"/>
    <xf numFmtId="0" fontId="32" fillId="0" borderId="0" xfId="0" applyFont="1" applyAlignment="1">
      <alignment vertical="center"/>
    </xf>
    <xf numFmtId="0" fontId="32" fillId="8" borderId="19" xfId="0" applyFont="1" applyFill="1" applyBorder="1" applyAlignment="1">
      <alignment vertical="center" wrapText="1"/>
    </xf>
    <xf numFmtId="0" fontId="32" fillId="8" borderId="19" xfId="0" applyFont="1" applyFill="1" applyBorder="1" applyAlignment="1">
      <alignment vertical="center"/>
    </xf>
    <xf numFmtId="0" fontId="31" fillId="0" borderId="19" xfId="0" applyFont="1" applyBorder="1" applyAlignment="1">
      <alignment vertical="center"/>
    </xf>
    <xf numFmtId="0" fontId="31" fillId="0" borderId="19" xfId="0" applyFont="1" applyBorder="1" applyAlignment="1">
      <alignment vertical="center" wrapText="1"/>
    </xf>
    <xf numFmtId="0" fontId="31" fillId="0" borderId="19" xfId="0" applyFont="1" applyBorder="1"/>
    <xf numFmtId="0" fontId="0" fillId="0" borderId="19" xfId="0" applyBorder="1"/>
    <xf numFmtId="0" fontId="0" fillId="0" borderId="19" xfId="0" applyBorder="1" applyAlignment="1">
      <alignment horizontal="left" wrapText="1"/>
    </xf>
    <xf numFmtId="0" fontId="0" fillId="9" borderId="0" xfId="0" applyFill="1"/>
    <xf numFmtId="0" fontId="25" fillId="9" borderId="0" xfId="0" applyFont="1" applyFill="1"/>
    <xf numFmtId="0" fontId="25" fillId="9" borderId="0" xfId="0" applyFont="1" applyFill="1" applyAlignment="1">
      <alignment vertical="top"/>
    </xf>
    <xf numFmtId="0" fontId="26" fillId="9" borderId="0" xfId="0" applyFont="1" applyFill="1" applyAlignment="1">
      <alignment horizontal="center" vertical="center"/>
    </xf>
    <xf numFmtId="0" fontId="28" fillId="9" borderId="0" xfId="0" applyFont="1" applyFill="1"/>
    <xf numFmtId="0" fontId="26" fillId="9" borderId="0" xfId="0" applyFont="1" applyFill="1" applyAlignment="1">
      <alignment vertical="center"/>
    </xf>
    <xf numFmtId="0" fontId="27" fillId="9" borderId="0" xfId="0" applyNumberFormat="1" applyFont="1" applyFill="1" applyAlignment="1">
      <alignment horizontal="center"/>
    </xf>
    <xf numFmtId="0" fontId="27" fillId="9" borderId="0" xfId="0" applyFont="1" applyFill="1"/>
    <xf numFmtId="0" fontId="0" fillId="9" borderId="0" xfId="0" applyFill="1" applyAlignment="1">
      <alignment vertical="center"/>
    </xf>
    <xf numFmtId="0" fontId="27" fillId="9" borderId="0" xfId="0" applyFont="1" applyFill="1" applyAlignment="1">
      <alignment horizontal="center" vertical="center"/>
    </xf>
    <xf numFmtId="0" fontId="30" fillId="9" borderId="0" xfId="0" applyFont="1" applyFill="1" applyAlignment="1">
      <alignment horizontal="center"/>
    </xf>
    <xf numFmtId="0" fontId="0" fillId="9" borderId="0" xfId="0" applyFont="1" applyFill="1"/>
    <xf numFmtId="0" fontId="28" fillId="9" borderId="0" xfId="0" applyFont="1" applyFill="1" applyBorder="1" applyAlignment="1">
      <alignment vertical="top" wrapText="1"/>
    </xf>
    <xf numFmtId="0" fontId="30" fillId="9" borderId="0" xfId="0" applyFont="1" applyFill="1" applyBorder="1" applyAlignment="1">
      <alignment horizontal="center" vertical="center" wrapText="1"/>
    </xf>
    <xf numFmtId="0" fontId="27" fillId="9" borderId="0" xfId="0" applyFont="1" applyFill="1" applyBorder="1" applyAlignment="1">
      <alignment vertical="top" wrapText="1"/>
    </xf>
    <xf numFmtId="0" fontId="30" fillId="9" borderId="0" xfId="0" applyFont="1" applyFill="1" applyBorder="1" applyAlignment="1">
      <alignment horizontal="center" vertical="top" wrapText="1"/>
    </xf>
    <xf numFmtId="14" fontId="30" fillId="9" borderId="0" xfId="0" applyNumberFormat="1" applyFont="1" applyFill="1" applyBorder="1" applyAlignment="1">
      <alignment vertical="top" wrapText="1"/>
    </xf>
    <xf numFmtId="0" fontId="0" fillId="9" borderId="0" xfId="0" applyFont="1" applyFill="1" applyBorder="1" applyAlignment="1">
      <alignment vertical="top" wrapText="1"/>
    </xf>
    <xf numFmtId="0" fontId="0" fillId="9" borderId="0" xfId="0" applyFont="1" applyFill="1" applyAlignment="1">
      <alignment horizontal="left"/>
    </xf>
    <xf numFmtId="0" fontId="33" fillId="9" borderId="19" xfId="0" applyFont="1" applyFill="1" applyBorder="1" applyAlignment="1">
      <alignment vertical="center"/>
    </xf>
    <xf numFmtId="0" fontId="32" fillId="9" borderId="0" xfId="0" applyFont="1" applyFill="1" applyAlignment="1">
      <alignment vertical="center"/>
    </xf>
    <xf numFmtId="0" fontId="31" fillId="9" borderId="0" xfId="0" applyFont="1" applyFill="1"/>
    <xf numFmtId="0" fontId="31" fillId="0" borderId="19" xfId="0" applyFont="1" applyBorder="1" applyAlignment="1">
      <alignment wrapText="1"/>
    </xf>
    <xf numFmtId="0" fontId="32" fillId="8" borderId="19" xfId="0" applyFont="1" applyFill="1" applyBorder="1" applyAlignment="1">
      <alignment horizontal="center" vertical="center" wrapText="1"/>
    </xf>
    <xf numFmtId="0" fontId="36" fillId="9" borderId="0" xfId="0" applyFont="1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 applyAlignment="1"/>
    <xf numFmtId="0" fontId="0" fillId="9" borderId="27" xfId="0" applyFill="1" applyBorder="1" applyAlignment="1"/>
    <xf numFmtId="0" fontId="0" fillId="0" borderId="19" xfId="0" applyBorder="1" applyAlignment="1">
      <alignment wrapText="1"/>
    </xf>
    <xf numFmtId="0" fontId="0" fillId="0" borderId="19" xfId="0" applyBorder="1" applyAlignment="1">
      <alignment horizontal="left" wrapText="1"/>
    </xf>
    <xf numFmtId="0" fontId="31" fillId="0" borderId="19" xfId="0" applyFont="1" applyFill="1" applyBorder="1" applyAlignment="1">
      <alignment horizontal="center" vertical="center"/>
    </xf>
    <xf numFmtId="0" fontId="31" fillId="0" borderId="19" xfId="0" applyFont="1" applyFill="1" applyBorder="1"/>
    <xf numFmtId="0" fontId="31" fillId="0" borderId="19" xfId="0" applyFont="1" applyFill="1" applyBorder="1" applyAlignment="1">
      <alignment vertical="center" wrapText="1"/>
    </xf>
    <xf numFmtId="0" fontId="31" fillId="0" borderId="19" xfId="0" applyFont="1" applyFill="1" applyBorder="1" applyAlignment="1">
      <alignment vertical="center"/>
    </xf>
    <xf numFmtId="0" fontId="31" fillId="0" borderId="19" xfId="0" applyFont="1" applyFill="1" applyBorder="1" applyAlignment="1">
      <alignment horizontal="left" wrapText="1"/>
    </xf>
    <xf numFmtId="0" fontId="31" fillId="0" borderId="19" xfId="0" applyFont="1" applyFill="1" applyBorder="1" applyAlignment="1">
      <alignment wrapText="1"/>
    </xf>
    <xf numFmtId="14" fontId="31" fillId="0" borderId="19" xfId="0" applyNumberFormat="1" applyFont="1" applyFill="1" applyBorder="1" applyAlignment="1">
      <alignment horizontal="left" wrapText="1"/>
    </xf>
    <xf numFmtId="14" fontId="31" fillId="0" borderId="26" xfId="0" applyNumberFormat="1" applyFont="1" applyFill="1" applyBorder="1" applyAlignment="1">
      <alignment horizontal="left" wrapText="1"/>
    </xf>
    <xf numFmtId="0" fontId="0" fillId="0" borderId="19" xfId="0" applyFill="1" applyBorder="1"/>
    <xf numFmtId="14" fontId="0" fillId="0" borderId="19" xfId="0" applyNumberFormat="1" applyFill="1" applyBorder="1" applyAlignment="1">
      <alignment horizontal="left" wrapText="1"/>
    </xf>
    <xf numFmtId="0" fontId="0" fillId="0" borderId="19" xfId="0" applyFill="1" applyBorder="1" applyAlignment="1">
      <alignment wrapText="1"/>
    </xf>
    <xf numFmtId="0" fontId="0" fillId="0" borderId="19" xfId="0" applyFill="1" applyBorder="1" applyAlignment="1">
      <alignment horizontal="left" wrapText="1"/>
    </xf>
    <xf numFmtId="0" fontId="0" fillId="0" borderId="19" xfId="0" applyFill="1" applyBorder="1" applyAlignment="1">
      <alignment horizontal="center" vertical="center"/>
    </xf>
    <xf numFmtId="0" fontId="10" fillId="0" borderId="14" xfId="6" applyFont="1" applyFill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 wrapText="1"/>
    </xf>
    <xf numFmtId="0" fontId="12" fillId="2" borderId="3" xfId="6" applyFont="1" applyFill="1" applyBorder="1" applyAlignment="1">
      <alignment horizontal="left" wrapText="1"/>
    </xf>
    <xf numFmtId="0" fontId="20" fillId="2" borderId="4" xfId="6" applyFont="1" applyFill="1" applyBorder="1" applyAlignment="1">
      <alignment horizontal="left" wrapText="1"/>
    </xf>
    <xf numFmtId="14" fontId="30" fillId="9" borderId="19" xfId="0" applyNumberFormat="1" applyFont="1" applyFill="1" applyBorder="1" applyAlignment="1">
      <alignment horizontal="left" vertical="center"/>
    </xf>
    <xf numFmtId="0" fontId="30" fillId="9" borderId="19" xfId="0" applyFont="1" applyFill="1" applyBorder="1" applyAlignment="1">
      <alignment horizontal="left" vertical="center"/>
    </xf>
    <xf numFmtId="14" fontId="30" fillId="9" borderId="25" xfId="0" applyNumberFormat="1" applyFont="1" applyFill="1" applyBorder="1" applyAlignment="1">
      <alignment horizontal="left" vertical="center"/>
    </xf>
    <xf numFmtId="14" fontId="30" fillId="9" borderId="28" xfId="0" applyNumberFormat="1" applyFont="1" applyFill="1" applyBorder="1" applyAlignment="1">
      <alignment horizontal="left" vertical="center"/>
    </xf>
    <xf numFmtId="14" fontId="30" fillId="9" borderId="26" xfId="0" applyNumberFormat="1" applyFont="1" applyFill="1" applyBorder="1" applyAlignment="1">
      <alignment horizontal="left" vertical="center"/>
    </xf>
    <xf numFmtId="0" fontId="33" fillId="9" borderId="25" xfId="0" applyFont="1" applyFill="1" applyBorder="1" applyAlignment="1">
      <alignment horizontal="center" vertical="center"/>
    </xf>
    <xf numFmtId="0" fontId="33" fillId="9" borderId="28" xfId="0" applyFont="1" applyFill="1" applyBorder="1" applyAlignment="1">
      <alignment horizontal="center" vertical="center"/>
    </xf>
    <xf numFmtId="0" fontId="33" fillId="9" borderId="26" xfId="0" applyFont="1" applyFill="1" applyBorder="1" applyAlignment="1">
      <alignment horizontal="center" vertical="center"/>
    </xf>
    <xf numFmtId="0" fontId="33" fillId="9" borderId="19" xfId="0" applyFont="1" applyFill="1" applyBorder="1" applyAlignment="1">
      <alignment horizontal="left" vertical="center"/>
    </xf>
    <xf numFmtId="0" fontId="28" fillId="9" borderId="0" xfId="0" applyFont="1" applyFill="1" applyBorder="1" applyAlignment="1">
      <alignment horizontal="left" vertical="top" wrapText="1"/>
    </xf>
    <xf numFmtId="0" fontId="30" fillId="9" borderId="0" xfId="0" applyFont="1" applyFill="1" applyAlignment="1">
      <alignment horizontal="left"/>
    </xf>
    <xf numFmtId="0" fontId="29" fillId="9" borderId="0" xfId="0" applyFont="1" applyFill="1" applyAlignment="1">
      <alignment horizontal="left"/>
    </xf>
    <xf numFmtId="0" fontId="31" fillId="0" borderId="19" xfId="0" applyFont="1" applyFill="1" applyBorder="1" applyAlignment="1">
      <alignment horizontal="left" wrapText="1"/>
    </xf>
    <xf numFmtId="0" fontId="0" fillId="0" borderId="19" xfId="0" applyBorder="1" applyAlignment="1">
      <alignment horizontal="left" wrapText="1"/>
    </xf>
    <xf numFmtId="0" fontId="0" fillId="0" borderId="19" xfId="0" applyFill="1" applyBorder="1" applyAlignment="1">
      <alignment horizontal="left" wrapText="1"/>
    </xf>
    <xf numFmtId="0" fontId="32" fillId="8" borderId="19" xfId="0" applyFont="1" applyFill="1" applyBorder="1" applyAlignment="1">
      <alignment horizontal="center" vertical="center"/>
    </xf>
    <xf numFmtId="0" fontId="33" fillId="9" borderId="19" xfId="0" applyFont="1" applyFill="1" applyBorder="1" applyAlignment="1">
      <alignment horizontal="left" vertical="top"/>
    </xf>
    <xf numFmtId="0" fontId="35" fillId="0" borderId="19" xfId="0" applyFont="1" applyFill="1" applyBorder="1" applyAlignment="1">
      <alignment horizontal="left" vertical="center" wrapText="1"/>
    </xf>
    <xf numFmtId="0" fontId="31" fillId="0" borderId="25" xfId="0" applyFont="1" applyFill="1" applyBorder="1" applyAlignment="1">
      <alignment horizontal="left" wrapText="1"/>
    </xf>
    <xf numFmtId="0" fontId="31" fillId="0" borderId="26" xfId="0" applyFont="1" applyFill="1" applyBorder="1" applyAlignment="1">
      <alignment horizontal="left" wrapText="1"/>
    </xf>
    <xf numFmtId="0" fontId="31" fillId="0" borderId="19" xfId="0" applyFont="1" applyFill="1" applyBorder="1" applyAlignment="1">
      <alignment horizontal="left" vertical="center" wrapText="1"/>
    </xf>
    <xf numFmtId="0" fontId="30" fillId="9" borderId="19" xfId="0" applyFont="1" applyFill="1" applyBorder="1" applyAlignment="1">
      <alignment horizontal="left" vertical="top"/>
    </xf>
    <xf numFmtId="0" fontId="11" fillId="0" borderId="0" xfId="6" applyFont="1" applyBorder="1" applyAlignment="1">
      <alignment horizontal="center" vertical="center"/>
    </xf>
    <xf numFmtId="0" fontId="34" fillId="0" borderId="3" xfId="6" applyFont="1" applyFill="1" applyBorder="1" applyAlignment="1">
      <alignment horizontal="center"/>
    </xf>
    <xf numFmtId="0" fontId="34" fillId="0" borderId="4" xfId="0" applyFont="1" applyFill="1" applyBorder="1" applyAlignment="1">
      <alignment horizontal="center"/>
    </xf>
    <xf numFmtId="0" fontId="34" fillId="0" borderId="5" xfId="0" applyFont="1" applyFill="1" applyBorder="1" applyAlignment="1">
      <alignment horizontal="center"/>
    </xf>
    <xf numFmtId="0" fontId="9" fillId="0" borderId="0" xfId="6" applyFont="1" applyBorder="1" applyAlignment="1">
      <alignment horizontal="center"/>
    </xf>
    <xf numFmtId="0" fontId="11" fillId="0" borderId="0" xfId="6" applyFont="1" applyBorder="1" applyAlignment="1">
      <alignment horizontal="center" vertical="center" textRotation="90"/>
    </xf>
    <xf numFmtId="0" fontId="11" fillId="0" borderId="11" xfId="6" applyFont="1" applyBorder="1" applyAlignment="1">
      <alignment horizontal="center" vertical="center" textRotation="90"/>
    </xf>
    <xf numFmtId="0" fontId="13" fillId="0" borderId="13" xfId="7" applyFont="1" applyBorder="1" applyAlignment="1">
      <alignment vertical="center" wrapText="1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</cellXfs>
  <cellStyles count="14">
    <cellStyle name="Comma 2" xfId="9"/>
    <cellStyle name="Normal" xfId="0" builtinId="0"/>
    <cellStyle name="Normal 10pt" xfId="1"/>
    <cellStyle name="Normal 2" xfId="6"/>
    <cellStyle name="Normal 2 10" xfId="10"/>
    <cellStyle name="Normal 2 2" xfId="13"/>
    <cellStyle name="Normal 3" xfId="5"/>
    <cellStyle name="Normal 4" xfId="11"/>
    <cellStyle name="Normal 5" xfId="8"/>
    <cellStyle name="Normal_DFMEA From GME" xfId="4"/>
    <cellStyle name="Normal_DFMEA ranking scale_1 2" xfId="7"/>
    <cellStyle name="Percent 2" xfId="12"/>
    <cellStyle name="Standard_~3467343" xfId="2"/>
    <cellStyle name="Star" xfId="3"/>
  </cellStyles>
  <dxfs count="3">
    <dxf>
      <font>
        <color rgb="FFFF0000"/>
      </font>
      <fill>
        <patternFill>
          <bgColor rgb="FFFF0000"/>
        </patternFill>
      </fill>
    </dxf>
    <dxf>
      <font>
        <color rgb="FFFFFF00"/>
        <name val="Cambria"/>
        <scheme val="none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E3EEF5"/>
      <rgbColor rgb="00FFFFFF"/>
      <rgbColor rgb="00FFFFE9"/>
      <rgbColor rgb="00D5F1FF"/>
      <rgbColor rgb="006496FF"/>
      <rgbColor rgb="00C8EBFF"/>
      <rgbColor rgb="00FFFFC8"/>
      <rgbColor rgb="00FFCDC8"/>
      <rgbColor rgb="00E7FAFD"/>
      <rgbColor rgb="00FBECD9"/>
      <rgbColor rgb="00F0F0F0"/>
      <rgbColor rgb="00D4F4F0"/>
      <rgbColor rgb="00B4EBEB"/>
      <rgbColor rgb="00FFEBB9"/>
      <rgbColor rgb="00D4F4F0"/>
      <rgbColor rgb="00FFFF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D8D8D8"/>
      <color rgb="FFFFFFCC"/>
      <color rgb="FFF2F2F2"/>
      <color rgb="FFFFFFFF"/>
      <color rgb="FF00FF00"/>
      <color rgb="FFFFC000"/>
      <color rgb="FFFF9900"/>
      <color rgb="FFCCECFF"/>
      <color rgb="FFDBE5F1"/>
      <color rgb="FFE7A65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1143000</xdr:colOff>
      <xdr:row>11</xdr:row>
      <xdr:rowOff>38100</xdr:rowOff>
    </xdr:from>
    <xdr:to>
      <xdr:col>0</xdr:col>
      <xdr:colOff>1323975</xdr:colOff>
      <xdr:row>11</xdr:row>
      <xdr:rowOff>219075</xdr:rowOff>
    </xdr:to>
    <xdr:sp macro="" textlink="">
      <xdr:nvSpPr>
        <xdr:cNvPr id="3" name="Rectangle 30"/>
        <xdr:cNvSpPr>
          <a:spLocks noChangeArrowheads="1"/>
        </xdr:cNvSpPr>
      </xdr:nvSpPr>
      <xdr:spPr bwMode="auto">
        <a:xfrm>
          <a:off x="590550" y="1333500"/>
          <a:ext cx="0" cy="123825"/>
        </a:xfrm>
        <a:prstGeom prst="rect">
          <a:avLst/>
        </a:prstGeom>
        <a:solidFill>
          <a:srgbClr val="FFFFFF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endParaRPr lang="sv-SE"/>
        </a:p>
      </xdr:txBody>
    </xdr:sp>
    <xdr:clientData/>
  </xdr:twoCellAnchor>
  <xdr:twoCellAnchor>
    <xdr:from>
      <xdr:col>0</xdr:col>
      <xdr:colOff>1143000</xdr:colOff>
      <xdr:row>9</xdr:row>
      <xdr:rowOff>38100</xdr:rowOff>
    </xdr:from>
    <xdr:to>
      <xdr:col>0</xdr:col>
      <xdr:colOff>1323975</xdr:colOff>
      <xdr:row>9</xdr:row>
      <xdr:rowOff>219075</xdr:rowOff>
    </xdr:to>
    <xdr:sp macro="" textlink="">
      <xdr:nvSpPr>
        <xdr:cNvPr id="4" name="Rectangle 33"/>
        <xdr:cNvSpPr>
          <a:spLocks noChangeArrowheads="1"/>
        </xdr:cNvSpPr>
      </xdr:nvSpPr>
      <xdr:spPr bwMode="auto">
        <a:xfrm>
          <a:off x="590550" y="1009650"/>
          <a:ext cx="0" cy="123825"/>
        </a:xfrm>
        <a:prstGeom prst="rect">
          <a:avLst/>
        </a:prstGeom>
        <a:solidFill>
          <a:srgbClr val="FFFFFF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endParaRPr lang="sv-SE"/>
        </a:p>
      </xdr:txBody>
    </xdr:sp>
    <xdr:clientData/>
  </xdr:twoCellAnchor>
  <xdr:twoCellAnchor>
    <xdr:from>
      <xdr:col>0</xdr:col>
      <xdr:colOff>9525</xdr:colOff>
      <xdr:row>0</xdr:row>
      <xdr:rowOff>9525</xdr:rowOff>
    </xdr:from>
    <xdr:to>
      <xdr:col>0</xdr:col>
      <xdr:colOff>552450</xdr:colOff>
      <xdr:row>0</xdr:row>
      <xdr:rowOff>542925</xdr:rowOff>
    </xdr:to>
    <xdr:pic>
      <xdr:nvPicPr>
        <xdr:cNvPr id="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542925" cy="533400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0</xdr:row>
      <xdr:rowOff>95249</xdr:rowOff>
    </xdr:from>
    <xdr:to>
      <xdr:col>6</xdr:col>
      <xdr:colOff>83344</xdr:colOff>
      <xdr:row>5</xdr:row>
      <xdr:rowOff>95250</xdr:rowOff>
    </xdr:to>
    <xdr:pic>
      <xdr:nvPicPr>
        <xdr:cNvPr id="2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5249"/>
          <a:ext cx="4505326" cy="8191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238125</xdr:rowOff>
    </xdr:from>
    <xdr:to>
      <xdr:col>1</xdr:col>
      <xdr:colOff>238125</xdr:colOff>
      <xdr:row>10</xdr:row>
      <xdr:rowOff>228600</xdr:rowOff>
    </xdr:to>
    <xdr:sp macro="" textlink="">
      <xdr:nvSpPr>
        <xdr:cNvPr id="2" name="textruta 1"/>
        <xdr:cNvSpPr txBox="1"/>
      </xdr:nvSpPr>
      <xdr:spPr>
        <a:xfrm>
          <a:off x="247650" y="1038225"/>
          <a:ext cx="238125" cy="1228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US" sz="11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Likelihood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38100</xdr:rowOff>
    </xdr:from>
    <xdr:to>
      <xdr:col>4</xdr:col>
      <xdr:colOff>523876</xdr:colOff>
      <xdr:row>0</xdr:row>
      <xdr:rowOff>567021</xdr:rowOff>
    </xdr:to>
    <xdr:pic>
      <xdr:nvPicPr>
        <xdr:cNvPr id="3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38100"/>
          <a:ext cx="2457451" cy="52892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lzj5r2/Application%20Data/Microsoft/Excel/PreviousWorkWithTemplate/FMEA%20KCDS%20Template_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powertrain.gm.com/TEMP/TEMP/3-05/EXAMPLE.FP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/3-05/EXAMPLE.FP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qz83nc/LOCALS~1/Temp/H.Notes.Data/~325037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Control"/>
      <sheetName val="Block Template"/>
      <sheetName val="Master Data0"/>
      <sheetName val="MasterData"/>
      <sheetName val="Team"/>
      <sheetName val="Block"/>
      <sheetName val="Inputs"/>
      <sheetName val="Outputs"/>
      <sheetName val="Picture"/>
      <sheetName val="Research"/>
      <sheetName val="Matrix"/>
      <sheetName val="FMEA"/>
      <sheetName val="DRBFM"/>
      <sheetName val="KCDS AQC"/>
      <sheetName val="KCDS"/>
      <sheetName val="SignOff"/>
      <sheetName val="Notes"/>
      <sheetName val="Scales"/>
      <sheetName val="Risk_Graphs"/>
      <sheetName val="KCDS workshop bring info"/>
      <sheetName val="KCDS Qs"/>
      <sheetName val="Definition of Change Point's"/>
      <sheetName val="Judgment Words"/>
      <sheetName val="Sheet1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EA"/>
    </sheetNames>
    <sheetDataSet>
      <sheetData sheetId="0">
        <row r="4">
          <cell r="A4" t="str">
            <v>Line</v>
          </cell>
          <cell r="B4" t="str">
            <v>Function</v>
          </cell>
          <cell r="C4" t="str">
            <v>Failure Mode</v>
          </cell>
          <cell r="D4" t="str">
            <v>Effect</v>
          </cell>
          <cell r="E4" t="str">
            <v>SEV</v>
          </cell>
          <cell r="F4" t="str">
            <v>Class</v>
          </cell>
          <cell r="G4" t="str">
            <v>Cause</v>
          </cell>
          <cell r="H4" t="str">
            <v>OCC</v>
          </cell>
          <cell r="I4" t="str">
            <v>Controls</v>
          </cell>
          <cell r="J4" t="str">
            <v>DET</v>
          </cell>
          <cell r="K4" t="str">
            <v>RPN</v>
          </cell>
          <cell r="L4" t="str">
            <v>Action</v>
          </cell>
          <cell r="M4" t="str">
            <v>Resp</v>
          </cell>
          <cell r="N4" t="str">
            <v>CompDate</v>
          </cell>
          <cell r="O4" t="str">
            <v>Actions Taken</v>
          </cell>
          <cell r="P4" t="str">
            <v>New SEV</v>
          </cell>
          <cell r="Q4" t="str">
            <v>New OCC</v>
          </cell>
          <cell r="R4" t="str">
            <v>New DET</v>
          </cell>
          <cell r="S4" t="str">
            <v>New RPN</v>
          </cell>
          <cell r="U4" t="str">
            <v>TEXT1</v>
          </cell>
          <cell r="V4" t="str">
            <v>TEXT2</v>
          </cell>
          <cell r="W4" t="str">
            <v>TEXT3</v>
          </cell>
          <cell r="X4" t="str">
            <v>TEXT4</v>
          </cell>
          <cell r="Y4" t="str">
            <v>TEXT5</v>
          </cell>
          <cell r="Z4" t="str">
            <v>TEXT6</v>
          </cell>
          <cell r="AA4" t="str">
            <v>TEXT7</v>
          </cell>
          <cell r="AB4" t="str">
            <v>TEXT8</v>
          </cell>
          <cell r="AC4" t="str">
            <v>TEXT9</v>
          </cell>
          <cell r="AD4" t="str">
            <v>TEXT10</v>
          </cell>
        </row>
        <row r="5">
          <cell r="A5">
            <v>1</v>
          </cell>
          <cell r="B5" t="str">
            <v>1.0 ContainerHolds specific amount of liquid (Soap)</v>
          </cell>
          <cell r="C5" t="str">
            <v>1.1 Leaks</v>
          </cell>
          <cell r="D5" t="str">
            <v>1.1.1 Loss of liquid (8)</v>
          </cell>
          <cell r="E5">
            <v>8</v>
          </cell>
          <cell r="G5" t="str">
            <v>1.1.A Shock/Impact</v>
          </cell>
          <cell r="H5">
            <v>2</v>
          </cell>
          <cell r="I5" t="str">
            <v>M-101,Drop Test (6)M-102,Compression Test (4) M-103,Thermal Cycle w/Drop testing (4)</v>
          </cell>
          <cell r="J5">
            <v>4</v>
          </cell>
          <cell r="K5">
            <v>64</v>
          </cell>
          <cell r="L5" t="str">
            <v>Develop better Drop Test.</v>
          </cell>
          <cell r="M5" t="str">
            <v>R/T Eng..Oct 31, 93</v>
          </cell>
          <cell r="O5" t="str">
            <v>Test M-101.1</v>
          </cell>
          <cell r="P5">
            <v>8</v>
          </cell>
          <cell r="Q5">
            <v>2</v>
          </cell>
          <cell r="R5">
            <v>1</v>
          </cell>
          <cell r="S5">
            <v>16</v>
          </cell>
          <cell r="U5">
            <v>6.6670000000000002E-3</v>
          </cell>
          <cell r="V5">
            <v>6.6670000000000002E-3</v>
          </cell>
          <cell r="W5">
            <v>0</v>
          </cell>
        </row>
        <row r="6">
          <cell r="A6">
            <v>2</v>
          </cell>
          <cell r="B6" t="str">
            <v>1.0 ContainerHolds specific amount of liquid (Soap)</v>
          </cell>
          <cell r="C6" t="str">
            <v>1.1 Leaks</v>
          </cell>
          <cell r="D6" t="str">
            <v>1.1.1 Loss of liquid (8)</v>
          </cell>
          <cell r="E6">
            <v>8</v>
          </cell>
          <cell r="G6" t="str">
            <v>1.1.B Chemical incompatibility</v>
          </cell>
          <cell r="H6">
            <v>1</v>
          </cell>
          <cell r="I6" t="str">
            <v>CT-Chemical Interaction Testing (1)</v>
          </cell>
          <cell r="J6">
            <v>1</v>
          </cell>
          <cell r="K6">
            <v>8</v>
          </cell>
          <cell r="L6" t="str">
            <v>None</v>
          </cell>
          <cell r="M6" t="str">
            <v>Bob Stefanick</v>
          </cell>
          <cell r="S6">
            <v>0</v>
          </cell>
          <cell r="U6">
            <v>6.6699999999999995E-4</v>
          </cell>
          <cell r="V6" t="str">
            <v xml:space="preserve"> - </v>
          </cell>
          <cell r="W6" t="str">
            <v/>
          </cell>
        </row>
        <row r="7">
          <cell r="A7">
            <v>3</v>
          </cell>
          <cell r="B7" t="str">
            <v>1.0 ContainerHolds specific amount of liquid (Soap)</v>
          </cell>
          <cell r="C7" t="str">
            <v>1.1 Leaks</v>
          </cell>
          <cell r="D7" t="str">
            <v>1.1.1 Loss of liquid (8)</v>
          </cell>
          <cell r="E7">
            <v>8</v>
          </cell>
          <cell r="G7" t="str">
            <v>1.1.C Thermal degradation</v>
          </cell>
          <cell r="H7">
            <v>7</v>
          </cell>
          <cell r="I7" t="str">
            <v>M-104,Thermal Cycle Testing (3) Engineering Analysis (2)</v>
          </cell>
          <cell r="J7">
            <v>2</v>
          </cell>
          <cell r="K7">
            <v>112</v>
          </cell>
          <cell r="L7" t="str">
            <v>Change Plastic Material</v>
          </cell>
          <cell r="M7" t="str">
            <v>Release Eng..Oct 31, 93</v>
          </cell>
          <cell r="O7" t="str">
            <v>Plastic PT-333</v>
          </cell>
          <cell r="P7">
            <v>8</v>
          </cell>
          <cell r="Q7">
            <v>1</v>
          </cell>
          <cell r="R7">
            <v>2</v>
          </cell>
          <cell r="S7">
            <v>16</v>
          </cell>
          <cell r="U7">
            <v>50</v>
          </cell>
          <cell r="V7">
            <v>6.6699999999999995E-4</v>
          </cell>
          <cell r="W7">
            <v>49.999333</v>
          </cell>
        </row>
        <row r="8">
          <cell r="A8">
            <v>4</v>
          </cell>
          <cell r="B8" t="str">
            <v>1.0 ContainerProvides attachment mechanism to lid.</v>
          </cell>
          <cell r="C8" t="str">
            <v>1.2 Deformed</v>
          </cell>
          <cell r="D8" t="str">
            <v>1.2.1 Reduced liquid content (5)</v>
          </cell>
          <cell r="E8">
            <v>5</v>
          </cell>
          <cell r="G8" t="str">
            <v>1.2.A Thermal deformation</v>
          </cell>
          <cell r="H8">
            <v>7</v>
          </cell>
          <cell r="I8" t="str">
            <v>M-104,Thermal Cycle Testing (3) Engineering Analysis (2)</v>
          </cell>
          <cell r="J8">
            <v>2</v>
          </cell>
          <cell r="K8">
            <v>70</v>
          </cell>
          <cell r="L8" t="str">
            <v>Change Plastic Material</v>
          </cell>
          <cell r="M8" t="str">
            <v>Release Eng..Oct 31, 93</v>
          </cell>
          <cell r="O8" t="str">
            <v>Plastic PT-333</v>
          </cell>
          <cell r="P8">
            <v>8</v>
          </cell>
          <cell r="Q8">
            <v>1</v>
          </cell>
          <cell r="R8">
            <v>2</v>
          </cell>
          <cell r="S8">
            <v>16</v>
          </cell>
          <cell r="U8">
            <v>50</v>
          </cell>
          <cell r="V8">
            <v>6.6699999999999995E-4</v>
          </cell>
          <cell r="W8">
            <v>49.999333</v>
          </cell>
        </row>
        <row r="9">
          <cell r="A9">
            <v>5</v>
          </cell>
          <cell r="B9" t="str">
            <v>1.0 ContainerProvides attachment mechanism to lid.</v>
          </cell>
          <cell r="C9" t="str">
            <v>1.3 Loose</v>
          </cell>
          <cell r="D9" t="str">
            <v>1.3.1 Loss of liquid (8)</v>
          </cell>
          <cell r="E9">
            <v>8</v>
          </cell>
          <cell r="G9" t="str">
            <v>1.3.A Improper Thread Design</v>
          </cell>
          <cell r="H9">
            <v>2</v>
          </cell>
          <cell r="I9" t="str">
            <v>Engineering Analysis (2)</v>
          </cell>
          <cell r="J9">
            <v>2</v>
          </cell>
          <cell r="K9">
            <v>32</v>
          </cell>
          <cell r="L9" t="str">
            <v xml:space="preserve">Design Verification &amp; DOE Study </v>
          </cell>
          <cell r="M9" t="str">
            <v>Release Eng..Oct 31, 94</v>
          </cell>
          <cell r="O9" t="str">
            <v xml:space="preserve">Design Verification &amp; DOE Study </v>
          </cell>
          <cell r="P9">
            <v>8</v>
          </cell>
          <cell r="Q9">
            <v>1</v>
          </cell>
          <cell r="R9">
            <v>1</v>
          </cell>
          <cell r="S9">
            <v>8</v>
          </cell>
          <cell r="U9">
            <v>6.6670000000000002E-3</v>
          </cell>
          <cell r="V9">
            <v>6.6699999999999995E-4</v>
          </cell>
          <cell r="W9">
            <v>6.0000000000000001E-3</v>
          </cell>
        </row>
        <row r="10">
          <cell r="A10">
            <v>6</v>
          </cell>
          <cell r="B10" t="str">
            <v>1.0 ContainerProvides attachment mechanism to lid.</v>
          </cell>
          <cell r="C10" t="str">
            <v>1.4 Does not attach</v>
          </cell>
          <cell r="D10" t="str">
            <v>1.4.1 Loss of label (8) label (8)1.4.2 Label peels halfway off (6)</v>
          </cell>
          <cell r="E10">
            <v>8</v>
          </cell>
          <cell r="G10" t="str">
            <v>1.4.A Chemical incompatibility</v>
          </cell>
          <cell r="H10">
            <v>2</v>
          </cell>
          <cell r="I10" t="str">
            <v>CT-Chemical Interaction Testing (1)</v>
          </cell>
          <cell r="J10">
            <v>1</v>
          </cell>
          <cell r="K10">
            <v>16</v>
          </cell>
          <cell r="L10" t="str">
            <v>Visit label Supplier</v>
          </cell>
          <cell r="M10" t="str">
            <v>R/T, Release Eng.. Nov. 15, 93</v>
          </cell>
          <cell r="O10" t="str">
            <v>Visit Supplier</v>
          </cell>
          <cell r="P10">
            <v>8</v>
          </cell>
          <cell r="Q10">
            <v>1</v>
          </cell>
          <cell r="R10">
            <v>1</v>
          </cell>
          <cell r="S10">
            <v>8</v>
          </cell>
          <cell r="U10">
            <v>6.6670000000000002E-3</v>
          </cell>
          <cell r="V10">
            <v>6.6699999999999995E-4</v>
          </cell>
          <cell r="W10">
            <v>6.0000000000000001E-3</v>
          </cell>
        </row>
        <row r="11">
          <cell r="A11">
            <v>7</v>
          </cell>
          <cell r="B11" t="str">
            <v>1.0 ContainerStands in upright position.</v>
          </cell>
          <cell r="C11" t="str">
            <v>1.4 Does not attach</v>
          </cell>
          <cell r="D11" t="str">
            <v>1.4.1 Loss of label (8) label (8)1.4.2 Label peels halfway off (6)</v>
          </cell>
          <cell r="E11">
            <v>8</v>
          </cell>
          <cell r="G11" t="str">
            <v>1.4.B Improper adhesive</v>
          </cell>
          <cell r="H11">
            <v>3</v>
          </cell>
          <cell r="I11" t="str">
            <v>Engineering Analysis (2)CT-Chemical Interaction Testing (4)</v>
          </cell>
          <cell r="J11">
            <v>2</v>
          </cell>
          <cell r="K11">
            <v>48</v>
          </cell>
          <cell r="L11" t="str">
            <v>Visit label Supplier</v>
          </cell>
          <cell r="M11" t="str">
            <v>R/T, Release Eng.. Nov. 15, 94</v>
          </cell>
          <cell r="O11" t="str">
            <v>Visit Supplier</v>
          </cell>
          <cell r="P11">
            <v>8</v>
          </cell>
          <cell r="Q11">
            <v>1</v>
          </cell>
          <cell r="R11">
            <v>1</v>
          </cell>
          <cell r="S11">
            <v>8</v>
          </cell>
          <cell r="U11">
            <v>6.6667000000000004E-2</v>
          </cell>
          <cell r="V11">
            <v>6.6699999999999995E-4</v>
          </cell>
          <cell r="W11">
            <v>6.6000000000000003E-2</v>
          </cell>
        </row>
        <row r="12">
          <cell r="A12">
            <v>8</v>
          </cell>
          <cell r="B12" t="str">
            <v>1.0 ContainerStands in upright position.</v>
          </cell>
          <cell r="C12" t="str">
            <v>1.5 Falls down</v>
          </cell>
          <cell r="D12" t="str">
            <v>1.5.1 Possible loss of liquid (8)1.5.2 Break Lid (7) 1.5.3 Break Plunger (8) 1.5.4 Scratched label (4) 1.5.5 Tears off label (5)</v>
          </cell>
          <cell r="E12">
            <v>8</v>
          </cell>
          <cell r="G12" t="str">
            <v>1.5.A Thermal deformation</v>
          </cell>
          <cell r="H12">
            <v>7</v>
          </cell>
          <cell r="I12" t="str">
            <v>M-104,Thermal Cycle Testing (3) Engineering Analysis (2)</v>
          </cell>
          <cell r="J12">
            <v>2</v>
          </cell>
          <cell r="K12">
            <v>112</v>
          </cell>
          <cell r="L12" t="str">
            <v>Change Plastic Material</v>
          </cell>
          <cell r="M12" t="str">
            <v>Release Eng.. Oct 31, 93</v>
          </cell>
          <cell r="O12" t="str">
            <v>Plastic PT-333</v>
          </cell>
          <cell r="P12">
            <v>8</v>
          </cell>
          <cell r="Q12">
            <v>1</v>
          </cell>
          <cell r="R12">
            <v>2</v>
          </cell>
          <cell r="S12">
            <v>16</v>
          </cell>
          <cell r="U12">
            <v>50</v>
          </cell>
          <cell r="V12">
            <v>6.6699999999999995E-4</v>
          </cell>
          <cell r="W12">
            <v>49.999333</v>
          </cell>
        </row>
        <row r="13">
          <cell r="A13">
            <v>9</v>
          </cell>
          <cell r="B13" t="str">
            <v>2.0 Lid/PlungerSeals container</v>
          </cell>
          <cell r="C13" t="str">
            <v>1.5 Falls down</v>
          </cell>
          <cell r="D13" t="str">
            <v>1.5.1 Possible loss of liquid (8)1.5.2 Break Lid (7) 1.5.3 Break Plunger (8) 1.5.4 Scratched label (4) 1.5.5 Tears off label (5)</v>
          </cell>
          <cell r="E13">
            <v>8</v>
          </cell>
          <cell r="G13" t="str">
            <v>1.5.B Shock/Impact</v>
          </cell>
          <cell r="H13">
            <v>2</v>
          </cell>
          <cell r="I13" t="str">
            <v>M-101,Drop Test (6)M-102,Compression Test (4)M-103,Thermal Cycle w/Drop testing (4)</v>
          </cell>
          <cell r="J13">
            <v>4</v>
          </cell>
          <cell r="K13">
            <v>64</v>
          </cell>
          <cell r="L13" t="str">
            <v>Develop better Drop Test.</v>
          </cell>
          <cell r="M13" t="str">
            <v>Release Eng.. Oct 31, 94</v>
          </cell>
          <cell r="O13" t="str">
            <v>Test M-101.1</v>
          </cell>
          <cell r="P13">
            <v>8</v>
          </cell>
          <cell r="Q13">
            <v>2</v>
          </cell>
          <cell r="R13">
            <v>1</v>
          </cell>
          <cell r="S13">
            <v>16</v>
          </cell>
          <cell r="U13">
            <v>6.6670000000000002E-3</v>
          </cell>
          <cell r="V13">
            <v>6.6670000000000002E-3</v>
          </cell>
          <cell r="W13">
            <v>0</v>
          </cell>
        </row>
        <row r="14">
          <cell r="A14">
            <v>10</v>
          </cell>
          <cell r="B14" t="str">
            <v>2.0 Lid/PlungerSeals container</v>
          </cell>
          <cell r="C14" t="str">
            <v>2.1 Leaks</v>
          </cell>
          <cell r="D14" t="str">
            <v>2.1.1 Loss of Liquid (8)</v>
          </cell>
          <cell r="E14">
            <v>8</v>
          </cell>
          <cell r="G14" t="str">
            <v>2.1.A Shock/Impact</v>
          </cell>
          <cell r="H14">
            <v>5</v>
          </cell>
          <cell r="I14" t="str">
            <v>M-101,Drop Test (8) M-102,Compression Test (6) M-103,Thermal Cycle w/Drop testing (6)</v>
          </cell>
          <cell r="J14">
            <v>6</v>
          </cell>
          <cell r="K14">
            <v>240</v>
          </cell>
          <cell r="L14" t="str">
            <v>Develop better Drop Test.Strengthen Lid/Plunger</v>
          </cell>
          <cell r="M14" t="str">
            <v>Release Eng.. Oct 31, 94Release Eng.. Nov. 15, 93</v>
          </cell>
          <cell r="O14" t="str">
            <v>Test M-101.1,M-101.2Redesigned Plunger stem</v>
          </cell>
          <cell r="P14">
            <v>8</v>
          </cell>
          <cell r="Q14">
            <v>2</v>
          </cell>
          <cell r="R14">
            <v>1</v>
          </cell>
          <cell r="S14">
            <v>16</v>
          </cell>
          <cell r="U14">
            <v>2.5</v>
          </cell>
          <cell r="V14">
            <v>6.6670000000000002E-3</v>
          </cell>
          <cell r="W14">
            <v>2.4933329999999998</v>
          </cell>
        </row>
        <row r="15">
          <cell r="A15">
            <v>11</v>
          </cell>
          <cell r="B15" t="str">
            <v>2.0 Lid/PlungerSeals container</v>
          </cell>
          <cell r="C15">
            <v>2.1</v>
          </cell>
          <cell r="D15" t="str">
            <v>2.1.1 Loss of Liquid (8)</v>
          </cell>
          <cell r="E15">
            <v>8</v>
          </cell>
          <cell r="G15" t="str">
            <v>2.1.B Chemical incompatibility</v>
          </cell>
          <cell r="H15">
            <v>1</v>
          </cell>
          <cell r="I15" t="str">
            <v>CT-Chemical Interaction Testing (1)</v>
          </cell>
          <cell r="J15">
            <v>1</v>
          </cell>
          <cell r="K15">
            <v>8</v>
          </cell>
          <cell r="L15" t="str">
            <v>None</v>
          </cell>
          <cell r="S15">
            <v>0</v>
          </cell>
          <cell r="U15">
            <v>6.6699999999999995E-4</v>
          </cell>
          <cell r="V15" t="str">
            <v xml:space="preserve"> - </v>
          </cell>
          <cell r="W15" t="str">
            <v/>
          </cell>
        </row>
        <row r="16">
          <cell r="A16">
            <v>12</v>
          </cell>
          <cell r="B16" t="str">
            <v>2.0 Lid/PlungerSeals container</v>
          </cell>
          <cell r="C16" t="str">
            <v>2.1 Leaks</v>
          </cell>
          <cell r="D16" t="str">
            <v>2.1.1 Loss of Liquid (8)</v>
          </cell>
          <cell r="E16">
            <v>8</v>
          </cell>
          <cell r="G16" t="str">
            <v>2.1.C Thermal degradation</v>
          </cell>
          <cell r="H16">
            <v>1</v>
          </cell>
          <cell r="I16" t="str">
            <v>M-104,Thermal Cycle Testing (3)Engineering Analysis (2)</v>
          </cell>
          <cell r="J16">
            <v>2</v>
          </cell>
          <cell r="K16">
            <v>16</v>
          </cell>
          <cell r="L16" t="str">
            <v>None</v>
          </cell>
          <cell r="S16">
            <v>0</v>
          </cell>
          <cell r="U16">
            <v>6.6699999999999995E-4</v>
          </cell>
          <cell r="V16" t="str">
            <v xml:space="preserve"> - </v>
          </cell>
          <cell r="W16" t="str">
            <v/>
          </cell>
        </row>
        <row r="17">
          <cell r="A17">
            <v>13</v>
          </cell>
          <cell r="B17" t="str">
            <v>2.0 Lid/PlungerSeals container</v>
          </cell>
          <cell r="C17" t="str">
            <v>2.1 Leaks</v>
          </cell>
          <cell r="D17" t="str">
            <v>2.1.1 Loss of Liquid (8)</v>
          </cell>
          <cell r="E17">
            <v>8</v>
          </cell>
          <cell r="G17" t="str">
            <v>2.1.D Thermal deformation</v>
          </cell>
          <cell r="H17">
            <v>1</v>
          </cell>
          <cell r="I17" t="str">
            <v>M-104,Thermal Cycle Testing (3)Engineering Analysis (2)</v>
          </cell>
          <cell r="J17">
            <v>2</v>
          </cell>
          <cell r="K17">
            <v>16</v>
          </cell>
          <cell r="L17" t="str">
            <v>None</v>
          </cell>
          <cell r="S17">
            <v>0</v>
          </cell>
          <cell r="U17">
            <v>6.6699999999999995E-4</v>
          </cell>
          <cell r="V17" t="str">
            <v xml:space="preserve"> - </v>
          </cell>
          <cell r="W17" t="str">
            <v/>
          </cell>
        </row>
        <row r="18">
          <cell r="A18">
            <v>14</v>
          </cell>
          <cell r="B18" t="str">
            <v>2.0 Lid/PlungerDispenses specific amount of liquid (Soap)</v>
          </cell>
          <cell r="C18" t="str">
            <v>2.1 Leaks</v>
          </cell>
          <cell r="D18" t="str">
            <v>2.1.1 Loss of Liquid (8)</v>
          </cell>
          <cell r="E18">
            <v>8</v>
          </cell>
          <cell r="G18" t="str">
            <v>2.1.E Improper Thread Design</v>
          </cell>
          <cell r="H18">
            <v>2</v>
          </cell>
          <cell r="I18" t="str">
            <v>Engineering Analysis (2)</v>
          </cell>
          <cell r="J18">
            <v>2</v>
          </cell>
          <cell r="K18">
            <v>32</v>
          </cell>
          <cell r="L18" t="str">
            <v xml:space="preserve">Design Verification &amp; DOE Study </v>
          </cell>
          <cell r="M18" t="str">
            <v>Release Eng.. Oct 31, 93</v>
          </cell>
          <cell r="O18" t="str">
            <v xml:space="preserve">Design Verification &amp; DOE Study </v>
          </cell>
          <cell r="P18">
            <v>8</v>
          </cell>
          <cell r="Q18">
            <v>1</v>
          </cell>
          <cell r="R18">
            <v>1</v>
          </cell>
          <cell r="S18">
            <v>8</v>
          </cell>
          <cell r="U18">
            <v>6.6670000000000002E-3</v>
          </cell>
          <cell r="V18">
            <v>6.6699999999999995E-4</v>
          </cell>
          <cell r="W18">
            <v>6.0000000000000001E-3</v>
          </cell>
        </row>
        <row r="19">
          <cell r="A19">
            <v>15</v>
          </cell>
          <cell r="B19" t="str">
            <v>2.0 Lid/PlungerDispenses specific amount of liquid (Soap)</v>
          </cell>
          <cell r="C19" t="str">
            <v>2.2 No liquid</v>
          </cell>
          <cell r="D19" t="str">
            <v>2.2.1 System inoperative (8)</v>
          </cell>
          <cell r="E19">
            <v>8</v>
          </cell>
          <cell r="G19" t="str">
            <v>2.2.A Dimensional Incompatibility</v>
          </cell>
          <cell r="H19">
            <v>4</v>
          </cell>
          <cell r="I19" t="str">
            <v>Engineering Analysis (2)</v>
          </cell>
          <cell r="J19">
            <v>2</v>
          </cell>
          <cell r="K19">
            <v>64</v>
          </cell>
          <cell r="L19" t="str">
            <v xml:space="preserve">Design Verification &amp; DOE Study </v>
          </cell>
          <cell r="M19" t="str">
            <v>Release Eng.. Oct 31, 93</v>
          </cell>
          <cell r="O19" t="str">
            <v xml:space="preserve">Design Verification &amp; DOE Study </v>
          </cell>
          <cell r="P19">
            <v>8</v>
          </cell>
          <cell r="Q19">
            <v>1</v>
          </cell>
          <cell r="R19">
            <v>2</v>
          </cell>
          <cell r="S19">
            <v>16</v>
          </cell>
          <cell r="U19">
            <v>0.5</v>
          </cell>
          <cell r="V19">
            <v>6.6699999999999995E-4</v>
          </cell>
          <cell r="W19">
            <v>0.49933300000000003</v>
          </cell>
        </row>
        <row r="20">
          <cell r="A20">
            <v>16</v>
          </cell>
          <cell r="B20" t="str">
            <v>2.0 Lid/PlungerDispenses specific amount of liquid (Soap)</v>
          </cell>
          <cell r="C20" t="str">
            <v>2.2 No liquid</v>
          </cell>
          <cell r="D20" t="str">
            <v>2.2.1 System inoperative (8)</v>
          </cell>
          <cell r="E20">
            <v>8</v>
          </cell>
          <cell r="G20" t="str">
            <v>2.2.B Thermal Parts expansion</v>
          </cell>
          <cell r="H20">
            <v>1</v>
          </cell>
          <cell r="I20" t="str">
            <v>M-104,Thermal Cycle Testing (3)Engineering Analysis (2)</v>
          </cell>
          <cell r="J20">
            <v>2</v>
          </cell>
          <cell r="K20">
            <v>16</v>
          </cell>
          <cell r="L20" t="str">
            <v>None</v>
          </cell>
          <cell r="S20">
            <v>0</v>
          </cell>
          <cell r="U20">
            <v>6.6699999999999995E-4</v>
          </cell>
          <cell r="V20" t="str">
            <v xml:space="preserve"> - </v>
          </cell>
          <cell r="W20" t="str">
            <v/>
          </cell>
        </row>
        <row r="21">
          <cell r="A21">
            <v>17</v>
          </cell>
          <cell r="B21" t="str">
            <v>2.0 Lid/PlungerDispenses specific amount of liquid (Soap)</v>
          </cell>
          <cell r="C21" t="str">
            <v>2.2 No liquid</v>
          </cell>
          <cell r="D21" t="str">
            <v>2.2.1 System inoperative (8)</v>
          </cell>
          <cell r="E21">
            <v>8</v>
          </cell>
          <cell r="G21" t="str">
            <v>2.2.C Blockage (Soap Hardening)</v>
          </cell>
          <cell r="H21">
            <v>4</v>
          </cell>
          <cell r="I21" t="str">
            <v>Engineering Analysis (2)</v>
          </cell>
          <cell r="J21">
            <v>2</v>
          </cell>
          <cell r="K21">
            <v>64</v>
          </cell>
          <cell r="L21" t="str">
            <v>DOE Study Visit Soap Manufacturers</v>
          </cell>
          <cell r="M21" t="str">
            <v>Release Eng.. Oct 31, 93Group Visit Nov. 1, 93</v>
          </cell>
          <cell r="O21" t="str">
            <v>DOE Study Visit Soap Manufacturers</v>
          </cell>
          <cell r="P21">
            <v>8</v>
          </cell>
          <cell r="Q21">
            <v>2</v>
          </cell>
          <cell r="R21">
            <v>2</v>
          </cell>
          <cell r="S21">
            <v>32</v>
          </cell>
          <cell r="U21">
            <v>0.5</v>
          </cell>
          <cell r="V21">
            <v>6.6670000000000002E-3</v>
          </cell>
          <cell r="W21">
            <v>0.49333300000000002</v>
          </cell>
        </row>
        <row r="22">
          <cell r="A22">
            <v>18</v>
          </cell>
          <cell r="B22" t="str">
            <v>2.0 Lid/PlungerDispenses specific amount of liquid (Soap)</v>
          </cell>
          <cell r="C22" t="str">
            <v>2.2 No liquid</v>
          </cell>
          <cell r="D22" t="str">
            <v>2.2.1 System inoperative (8)</v>
          </cell>
          <cell r="E22">
            <v>8</v>
          </cell>
          <cell r="G22" t="str">
            <v>2.2.D Thermal deformation</v>
          </cell>
          <cell r="H22">
            <v>1</v>
          </cell>
          <cell r="I22" t="str">
            <v>M-104,Thermal Cycle Testing (3)Engineering Analysis (2)</v>
          </cell>
          <cell r="J22">
            <v>2</v>
          </cell>
          <cell r="K22">
            <v>16</v>
          </cell>
          <cell r="L22" t="str">
            <v>None</v>
          </cell>
          <cell r="S22">
            <v>0</v>
          </cell>
          <cell r="U22">
            <v>6.6699999999999995E-4</v>
          </cell>
          <cell r="V22" t="str">
            <v xml:space="preserve"> - </v>
          </cell>
          <cell r="W22" t="str">
            <v/>
          </cell>
        </row>
        <row r="23">
          <cell r="A23">
            <v>19</v>
          </cell>
          <cell r="B23" t="str">
            <v>2.0 Lid/PlungerDispenses specific amount of liquid (Soap)</v>
          </cell>
          <cell r="C23" t="str">
            <v>2.3 Insufficient</v>
          </cell>
          <cell r="D23" t="str">
            <v>2.3.1 Requires multiple operations (5)</v>
          </cell>
          <cell r="E23">
            <v>5</v>
          </cell>
          <cell r="G23" t="str">
            <v>2.3.A Dimensional Incompatibility</v>
          </cell>
          <cell r="H23">
            <v>2</v>
          </cell>
          <cell r="I23" t="str">
            <v>Engineering Analysis (2)</v>
          </cell>
          <cell r="J23">
            <v>2</v>
          </cell>
          <cell r="K23">
            <v>20</v>
          </cell>
          <cell r="L23" t="str">
            <v xml:space="preserve">Design Verification &amp; DOE Study </v>
          </cell>
          <cell r="M23" t="str">
            <v>Release Eng.. Oct 31, 93</v>
          </cell>
          <cell r="O23" t="str">
            <v xml:space="preserve">Design Verification &amp; DOE Study </v>
          </cell>
          <cell r="P23">
            <v>8</v>
          </cell>
          <cell r="Q23">
            <v>1</v>
          </cell>
          <cell r="R23">
            <v>2</v>
          </cell>
          <cell r="S23">
            <v>16</v>
          </cell>
          <cell r="U23">
            <v>6.6670000000000002E-3</v>
          </cell>
          <cell r="V23">
            <v>6.6699999999999995E-4</v>
          </cell>
          <cell r="W23">
            <v>6.0000000000000001E-3</v>
          </cell>
        </row>
        <row r="24">
          <cell r="A24">
            <v>20</v>
          </cell>
          <cell r="B24" t="str">
            <v>2.0 Lid/PlungerDispenses specific amount of liquid (Soap)</v>
          </cell>
          <cell r="C24" t="str">
            <v>2.3 Insufficient</v>
          </cell>
          <cell r="D24" t="str">
            <v>2.3.1 Requires multiple operations (5)</v>
          </cell>
          <cell r="E24">
            <v>5</v>
          </cell>
          <cell r="G24" t="str">
            <v>2.3.B Plunger volume too small</v>
          </cell>
          <cell r="H24">
            <v>3</v>
          </cell>
          <cell r="I24" t="str">
            <v>Engineering Analysis (2)</v>
          </cell>
          <cell r="J24">
            <v>2</v>
          </cell>
          <cell r="K24">
            <v>30</v>
          </cell>
          <cell r="L24" t="str">
            <v>Design Verification</v>
          </cell>
          <cell r="M24" t="str">
            <v>Release Eng.. Oct 31, 93</v>
          </cell>
          <cell r="O24" t="str">
            <v>Design Verification</v>
          </cell>
          <cell r="P24">
            <v>8</v>
          </cell>
          <cell r="Q24">
            <v>1</v>
          </cell>
          <cell r="R24">
            <v>2</v>
          </cell>
          <cell r="S24">
            <v>16</v>
          </cell>
          <cell r="U24">
            <v>6.6667000000000004E-2</v>
          </cell>
          <cell r="V24">
            <v>6.6699999999999995E-4</v>
          </cell>
          <cell r="W24">
            <v>6.6000000000000003E-2</v>
          </cell>
        </row>
        <row r="25">
          <cell r="A25">
            <v>21</v>
          </cell>
          <cell r="B25" t="str">
            <v>2.0 Lid/PlungerDispenses specific amount of liquid (Soap)</v>
          </cell>
          <cell r="C25" t="str">
            <v>2.3 Insufficient</v>
          </cell>
          <cell r="D25" t="str">
            <v>2.3.1 Requires multiple operations (5)</v>
          </cell>
          <cell r="E25">
            <v>5</v>
          </cell>
          <cell r="G25" t="str">
            <v>2.3.C Thermal deformation</v>
          </cell>
          <cell r="H25">
            <v>1</v>
          </cell>
          <cell r="I25" t="str">
            <v>M-104,Thermal Cycle Testing (3)Engineering Analysis (2)</v>
          </cell>
          <cell r="J25">
            <v>2</v>
          </cell>
          <cell r="K25">
            <v>10</v>
          </cell>
          <cell r="L25" t="str">
            <v>None</v>
          </cell>
          <cell r="S25">
            <v>0</v>
          </cell>
          <cell r="U25">
            <v>6.6699999999999995E-4</v>
          </cell>
          <cell r="V25" t="str">
            <v xml:space="preserve"> - </v>
          </cell>
          <cell r="W25" t="str">
            <v/>
          </cell>
        </row>
        <row r="26">
          <cell r="A26">
            <v>22</v>
          </cell>
          <cell r="B26" t="str">
            <v>2.0 Lid/PlungerProvides locking mechanism</v>
          </cell>
          <cell r="C26" t="str">
            <v>2.4 Excessive</v>
          </cell>
          <cell r="D26" t="str">
            <v>2.4.1 Liquid waste and mess (6)</v>
          </cell>
          <cell r="E26">
            <v>6</v>
          </cell>
          <cell r="G26" t="str">
            <v>2.4.A Plunger volume too large</v>
          </cell>
          <cell r="H26">
            <v>3</v>
          </cell>
          <cell r="I26" t="str">
            <v>Engineering Analysis (2)</v>
          </cell>
          <cell r="J26">
            <v>2</v>
          </cell>
          <cell r="K26">
            <v>36</v>
          </cell>
          <cell r="L26" t="str">
            <v>Design Verification</v>
          </cell>
          <cell r="M26" t="str">
            <v>Release Eng.. Oct 31, 93</v>
          </cell>
          <cell r="O26" t="str">
            <v>Design Verification</v>
          </cell>
          <cell r="P26">
            <v>8</v>
          </cell>
          <cell r="Q26">
            <v>1</v>
          </cell>
          <cell r="R26">
            <v>2</v>
          </cell>
          <cell r="S26">
            <v>16</v>
          </cell>
          <cell r="U26">
            <v>6.6667000000000004E-2</v>
          </cell>
          <cell r="V26">
            <v>6.6699999999999995E-4</v>
          </cell>
          <cell r="W26">
            <v>6.6000000000000003E-2</v>
          </cell>
        </row>
        <row r="27">
          <cell r="A27">
            <v>23</v>
          </cell>
          <cell r="B27" t="str">
            <v>2.0 Lid/PlungerProvides locking mechanism</v>
          </cell>
          <cell r="C27" t="str">
            <v>2.5 Does not lock</v>
          </cell>
          <cell r="D27" t="str">
            <v>2.5.1 Loss of liquid (8)</v>
          </cell>
          <cell r="E27">
            <v>8</v>
          </cell>
          <cell r="G27" t="str">
            <v>2.5.A Dimensional Incompatibility</v>
          </cell>
          <cell r="H27">
            <v>5</v>
          </cell>
          <cell r="I27" t="str">
            <v>Engineering Analysis (2)</v>
          </cell>
          <cell r="J27">
            <v>2</v>
          </cell>
          <cell r="K27">
            <v>80</v>
          </cell>
          <cell r="L27" t="str">
            <v>Design Verification</v>
          </cell>
          <cell r="M27" t="str">
            <v>Release Eng.. Oct 31, 93</v>
          </cell>
          <cell r="O27" t="str">
            <v>Design Verification</v>
          </cell>
          <cell r="P27">
            <v>8</v>
          </cell>
          <cell r="Q27">
            <v>1</v>
          </cell>
          <cell r="R27">
            <v>2</v>
          </cell>
          <cell r="S27">
            <v>16</v>
          </cell>
          <cell r="U27">
            <v>2.5</v>
          </cell>
          <cell r="V27">
            <v>6.6699999999999995E-4</v>
          </cell>
          <cell r="W27">
            <v>2.499333</v>
          </cell>
        </row>
        <row r="28">
          <cell r="A28">
            <v>24</v>
          </cell>
          <cell r="B28" t="str">
            <v>2.0 Lid/PlungerProvides locking mechanism</v>
          </cell>
          <cell r="C28" t="str">
            <v>2.5 Does not lock</v>
          </cell>
          <cell r="D28" t="str">
            <v>2.5.1 Loss of liquid (8)</v>
          </cell>
          <cell r="E28">
            <v>8</v>
          </cell>
          <cell r="G28" t="str">
            <v>2.5.B Thermal Parts expansion</v>
          </cell>
          <cell r="H28">
            <v>1</v>
          </cell>
          <cell r="I28" t="str">
            <v>M-104,Thermal Cycle Testing (3)Engineering Analysis (2)</v>
          </cell>
          <cell r="J28">
            <v>2</v>
          </cell>
          <cell r="K28">
            <v>16</v>
          </cell>
          <cell r="L28" t="str">
            <v>None</v>
          </cell>
          <cell r="S28">
            <v>0</v>
          </cell>
          <cell r="U28">
            <v>6.6699999999999995E-4</v>
          </cell>
          <cell r="V28" t="str">
            <v xml:space="preserve"> - </v>
          </cell>
          <cell r="W28" t="str">
            <v/>
          </cell>
        </row>
        <row r="29">
          <cell r="A29">
            <v>25</v>
          </cell>
          <cell r="B29" t="str">
            <v>2.0 Lid/PlungerProvides locking mechanism</v>
          </cell>
          <cell r="C29" t="str">
            <v>2.5 Does not lock</v>
          </cell>
          <cell r="D29" t="str">
            <v>2.5.1 Loss of liquid (8)</v>
          </cell>
          <cell r="E29">
            <v>8</v>
          </cell>
          <cell r="G29" t="str">
            <v>2.5.C Thermal deformation</v>
          </cell>
          <cell r="H29">
            <v>1</v>
          </cell>
          <cell r="I29" t="str">
            <v>M-104,Thermal Cycle Testing (3)Engineering Analysis (2)</v>
          </cell>
          <cell r="J29">
            <v>2</v>
          </cell>
          <cell r="K29">
            <v>16</v>
          </cell>
          <cell r="L29" t="str">
            <v>None</v>
          </cell>
          <cell r="S29">
            <v>0</v>
          </cell>
          <cell r="U29">
            <v>6.6699999999999995E-4</v>
          </cell>
          <cell r="V29" t="str">
            <v xml:space="preserve"> - </v>
          </cell>
          <cell r="W29" t="str">
            <v/>
          </cell>
        </row>
        <row r="30">
          <cell r="A30">
            <v>26</v>
          </cell>
          <cell r="B30" t="str">
            <v>2.0 Lid/PlungerProvides locking mechanism</v>
          </cell>
          <cell r="C30" t="str">
            <v>2.5 Does not lock</v>
          </cell>
          <cell r="D30" t="str">
            <v>2.5.1 Loss of liquid (8)</v>
          </cell>
          <cell r="E30">
            <v>8</v>
          </cell>
          <cell r="G30" t="str">
            <v>2.5.D Shock/Impact</v>
          </cell>
          <cell r="H30">
            <v>5</v>
          </cell>
          <cell r="I30" t="str">
            <v>M-101,Drop Test (8)M-102,Compression Test (6) M-103,Thermal Cycle w/Drop testing (6)</v>
          </cell>
          <cell r="J30">
            <v>6</v>
          </cell>
          <cell r="K30">
            <v>240</v>
          </cell>
          <cell r="L30" t="str">
            <v>Develop better Drop Test.Strengthen Lid/Plunger</v>
          </cell>
          <cell r="M30" t="str">
            <v>Release Eng.. Oct 31, 94Release Eng.. Nov. 15, 93</v>
          </cell>
          <cell r="O30" t="str">
            <v>Test M-101.1,M-101.2Redesigned Plunger stem</v>
          </cell>
          <cell r="P30">
            <v>8</v>
          </cell>
          <cell r="Q30">
            <v>1</v>
          </cell>
          <cell r="R30">
            <v>2</v>
          </cell>
          <cell r="S30">
            <v>16</v>
          </cell>
          <cell r="U30">
            <v>2.5</v>
          </cell>
          <cell r="V30">
            <v>6.6699999999999995E-4</v>
          </cell>
          <cell r="W30">
            <v>2.499333</v>
          </cell>
        </row>
        <row r="31">
          <cell r="A31">
            <v>27</v>
          </cell>
          <cell r="B31" t="str">
            <v>2.0 Lid/PlungerProvides locking mechanism</v>
          </cell>
          <cell r="C31" t="str">
            <v>2.6 Does not unlock</v>
          </cell>
          <cell r="D31" t="str">
            <v>2.6.1 System inoperative (8)inoperative (8)2.6.2 Customer breaks finger (10)</v>
          </cell>
          <cell r="E31">
            <v>10</v>
          </cell>
          <cell r="F31" t="str">
            <v>X</v>
          </cell>
          <cell r="G31" t="str">
            <v>2.6.A Dimensional Incompatibility</v>
          </cell>
          <cell r="H31">
            <v>5</v>
          </cell>
          <cell r="I31" t="str">
            <v>Engineering Analysis (2)- Stack-Up Study</v>
          </cell>
          <cell r="J31">
            <v>2</v>
          </cell>
          <cell r="K31">
            <v>100</v>
          </cell>
          <cell r="L31" t="str">
            <v>Tighten thread specifications (3NCF-12)</v>
          </cell>
          <cell r="M31" t="str">
            <v>Release Eng..  Oct 31, 94</v>
          </cell>
          <cell r="O31" t="str">
            <v>Thread spec. tightened, KPC added to drawing</v>
          </cell>
          <cell r="P31">
            <v>10</v>
          </cell>
          <cell r="Q31">
            <v>1</v>
          </cell>
          <cell r="R31">
            <v>2</v>
          </cell>
          <cell r="S31">
            <v>20</v>
          </cell>
          <cell r="U31">
            <v>2.5</v>
          </cell>
          <cell r="V31">
            <v>6.6699999999999995E-4</v>
          </cell>
          <cell r="W31">
            <v>2.499333</v>
          </cell>
        </row>
        <row r="32">
          <cell r="A32">
            <v>28</v>
          </cell>
          <cell r="B32" t="str">
            <v>2.0 Lid/PlungerProvides locking mechanism</v>
          </cell>
          <cell r="C32" t="str">
            <v>2.6 Does not unlock</v>
          </cell>
          <cell r="D32" t="str">
            <v>2.6.1 System inoperative (8)inoperative (8)2.6.2 Customer breaks finger (10)</v>
          </cell>
          <cell r="E32">
            <v>10</v>
          </cell>
          <cell r="G32" t="str">
            <v>2.6.B Thermal Parts expansion</v>
          </cell>
          <cell r="H32">
            <v>1</v>
          </cell>
          <cell r="I32" t="str">
            <v>M-104,Thermal Cycle Testing (3)Engineering Analysis (2)</v>
          </cell>
          <cell r="J32">
            <v>2</v>
          </cell>
          <cell r="K32">
            <v>20</v>
          </cell>
          <cell r="L32" t="str">
            <v>None</v>
          </cell>
          <cell r="M32" t="str">
            <v>me</v>
          </cell>
          <cell r="S32">
            <v>0</v>
          </cell>
          <cell r="U32">
            <v>6.6699999999999995E-4</v>
          </cell>
          <cell r="V32" t="str">
            <v xml:space="preserve"> - </v>
          </cell>
          <cell r="W32" t="str">
            <v/>
          </cell>
        </row>
        <row r="33">
          <cell r="A33">
            <v>29</v>
          </cell>
          <cell r="B33" t="str">
            <v>2.0 Lid/PlungerProvides locking mechanism</v>
          </cell>
          <cell r="C33" t="str">
            <v>2.6 Does not unlock</v>
          </cell>
          <cell r="D33" t="str">
            <v>2.6.1 System inoperative (8)inoperative (8)2.6.2 Customer breaks finger (10)</v>
          </cell>
          <cell r="E33">
            <v>10</v>
          </cell>
          <cell r="G33" t="str">
            <v>2.6.C Shock/Impact</v>
          </cell>
          <cell r="H33">
            <v>5</v>
          </cell>
          <cell r="I33" t="str">
            <v>M-101,Drop Test (8)M-102,Compression Test (6) M-103,Thermal Cycle w/Drop testing (6)</v>
          </cell>
          <cell r="J33">
            <v>6</v>
          </cell>
          <cell r="K33">
            <v>300</v>
          </cell>
          <cell r="L33" t="str">
            <v>Develop better Drop Test.Strengthen Thread/Plunger Design</v>
          </cell>
          <cell r="M33" t="str">
            <v>Release Eng.. Oct 31, 94Release Eng.. Nov. 15, 93</v>
          </cell>
          <cell r="O33" t="str">
            <v>Test M-101.1,M-101.2Redesigned Thread/Plunger Design</v>
          </cell>
          <cell r="P33">
            <v>10</v>
          </cell>
          <cell r="Q33">
            <v>1</v>
          </cell>
          <cell r="R33">
            <v>2</v>
          </cell>
          <cell r="S33">
            <v>20</v>
          </cell>
          <cell r="U33">
            <v>2.5</v>
          </cell>
          <cell r="V33">
            <v>6.6699999999999995E-4</v>
          </cell>
          <cell r="W33">
            <v>2.499333</v>
          </cell>
        </row>
        <row r="34">
          <cell r="A34">
            <v>30</v>
          </cell>
          <cell r="C34" t="str">
            <v>2.6 Does not unlock</v>
          </cell>
          <cell r="D34" t="str">
            <v>2.6.1 System inoperative (8)inoperative (8)2.6.2 Customer breaks finger (10)</v>
          </cell>
          <cell r="E34">
            <v>10</v>
          </cell>
          <cell r="G34" t="str">
            <v>2.6.D Thermal deformation</v>
          </cell>
          <cell r="H34">
            <v>1</v>
          </cell>
          <cell r="I34" t="str">
            <v>M-104,Thermal Cycle Testing (3)Engineering Analysis (2)</v>
          </cell>
          <cell r="J34">
            <v>2</v>
          </cell>
          <cell r="K34">
            <v>20</v>
          </cell>
          <cell r="L34" t="str">
            <v>None</v>
          </cell>
          <cell r="S34">
            <v>0</v>
          </cell>
          <cell r="U34">
            <v>6.6699999999999995E-4</v>
          </cell>
          <cell r="V34" t="str">
            <v xml:space="preserve"> - </v>
          </cell>
          <cell r="W34" t="str">
            <v/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EA"/>
    </sheetNames>
    <sheetDataSet>
      <sheetData sheetId="0">
        <row r="4">
          <cell r="A4" t="str">
            <v>Line</v>
          </cell>
          <cell r="B4" t="str">
            <v>Function</v>
          </cell>
          <cell r="C4" t="str">
            <v>Failure Mode</v>
          </cell>
          <cell r="D4" t="str">
            <v>Effect</v>
          </cell>
          <cell r="E4" t="str">
            <v>SEV</v>
          </cell>
          <cell r="F4" t="str">
            <v>Class</v>
          </cell>
          <cell r="G4" t="str">
            <v>Cause</v>
          </cell>
          <cell r="H4" t="str">
            <v>OCC</v>
          </cell>
          <cell r="I4" t="str">
            <v>Controls</v>
          </cell>
          <cell r="J4" t="str">
            <v>DET</v>
          </cell>
          <cell r="K4" t="str">
            <v>RPN</v>
          </cell>
          <cell r="L4" t="str">
            <v>Action</v>
          </cell>
          <cell r="M4" t="str">
            <v>Resp</v>
          </cell>
          <cell r="N4" t="str">
            <v>CompDate</v>
          </cell>
          <cell r="O4" t="str">
            <v>Actions Taken</v>
          </cell>
          <cell r="P4" t="str">
            <v>New SEV</v>
          </cell>
          <cell r="Q4" t="str">
            <v>New OCC</v>
          </cell>
          <cell r="R4" t="str">
            <v>New DET</v>
          </cell>
          <cell r="S4" t="str">
            <v>New RPN</v>
          </cell>
          <cell r="U4" t="str">
            <v>TEXT1</v>
          </cell>
          <cell r="V4" t="str">
            <v>TEXT2</v>
          </cell>
          <cell r="W4" t="str">
            <v>TEXT3</v>
          </cell>
          <cell r="X4" t="str">
            <v>TEXT4</v>
          </cell>
          <cell r="Y4" t="str">
            <v>TEXT5</v>
          </cell>
          <cell r="Z4" t="str">
            <v>TEXT6</v>
          </cell>
          <cell r="AA4" t="str">
            <v>TEXT7</v>
          </cell>
          <cell r="AB4" t="str">
            <v>TEXT8</v>
          </cell>
          <cell r="AC4" t="str">
            <v>TEXT9</v>
          </cell>
          <cell r="AD4" t="str">
            <v>TEXT10</v>
          </cell>
        </row>
        <row r="5">
          <cell r="A5">
            <v>1</v>
          </cell>
          <cell r="B5" t="str">
            <v>1.0 Container
Holds specific amount of liquid (Soap)</v>
          </cell>
          <cell r="C5" t="str">
            <v>1.1 Leaks</v>
          </cell>
          <cell r="D5" t="str">
            <v>1.1.1 Loss of liquid (8)</v>
          </cell>
          <cell r="E5">
            <v>8</v>
          </cell>
          <cell r="G5" t="str">
            <v>1.1.A Shock/Impact</v>
          </cell>
          <cell r="H5">
            <v>2</v>
          </cell>
          <cell r="I5" t="str">
            <v>M-101,Drop Test (6)
M-102,Compression Test (4) 
M-103,Thermal Cycle w/Drop testing (4)</v>
          </cell>
          <cell r="J5">
            <v>4</v>
          </cell>
          <cell r="K5">
            <v>64</v>
          </cell>
          <cell r="L5" t="str">
            <v>Develop better Drop Test.</v>
          </cell>
          <cell r="M5" t="str">
            <v>R/T Eng..
Oct 31, 93</v>
          </cell>
          <cell r="O5" t="str">
            <v>Test M-101.1</v>
          </cell>
          <cell r="P5">
            <v>8</v>
          </cell>
          <cell r="Q5">
            <v>2</v>
          </cell>
          <cell r="R5">
            <v>1</v>
          </cell>
          <cell r="S5">
            <v>16</v>
          </cell>
          <cell r="U5">
            <v>6.6670000000000002E-3</v>
          </cell>
          <cell r="V5">
            <v>6.6670000000000002E-3</v>
          </cell>
          <cell r="W5">
            <v>0</v>
          </cell>
        </row>
        <row r="6">
          <cell r="A6">
            <v>2</v>
          </cell>
          <cell r="B6" t="str">
            <v>1.0 Container
Holds specific amount of liquid (Soap)</v>
          </cell>
          <cell r="C6" t="str">
            <v>1.1 Leaks</v>
          </cell>
          <cell r="D6" t="str">
            <v>1.1.1 Loss of liquid (8)</v>
          </cell>
          <cell r="E6">
            <v>8</v>
          </cell>
          <cell r="G6" t="str">
            <v>1.1.B Chemical incompatibility</v>
          </cell>
          <cell r="H6">
            <v>1</v>
          </cell>
          <cell r="I6" t="str">
            <v>CT-Chemical Interaction Testing (1)</v>
          </cell>
          <cell r="J6">
            <v>1</v>
          </cell>
          <cell r="K6">
            <v>8</v>
          </cell>
          <cell r="L6" t="str">
            <v>None</v>
          </cell>
          <cell r="M6" t="str">
            <v>Bob Stefanick</v>
          </cell>
          <cell r="S6">
            <v>0</v>
          </cell>
          <cell r="U6">
            <v>6.6699999999999995E-4</v>
          </cell>
          <cell r="V6" t="str">
            <v xml:space="preserve"> - </v>
          </cell>
          <cell r="W6" t="str">
            <v/>
          </cell>
        </row>
        <row r="7">
          <cell r="A7">
            <v>3</v>
          </cell>
          <cell r="B7" t="str">
            <v>1.0 Container
Holds specific amount of liquid (Soap)</v>
          </cell>
          <cell r="C7" t="str">
            <v>1.1 Leaks</v>
          </cell>
          <cell r="D7" t="str">
            <v>1.1.1 Loss of liquid (8)</v>
          </cell>
          <cell r="E7">
            <v>8</v>
          </cell>
          <cell r="G7" t="str">
            <v>1.1.C Thermal degradation</v>
          </cell>
          <cell r="H7">
            <v>7</v>
          </cell>
          <cell r="I7" t="str">
            <v>M-104,Thermal Cycle Testing (3) Engineering Analysis (2)</v>
          </cell>
          <cell r="J7">
            <v>2</v>
          </cell>
          <cell r="K7">
            <v>112</v>
          </cell>
          <cell r="L7" t="str">
            <v>Change Plastic Material</v>
          </cell>
          <cell r="M7" t="str">
            <v>Release Eng..
Oct 31, 93</v>
          </cell>
          <cell r="O7" t="str">
            <v>Plastic PT-333</v>
          </cell>
          <cell r="P7">
            <v>8</v>
          </cell>
          <cell r="Q7">
            <v>1</v>
          </cell>
          <cell r="R7">
            <v>2</v>
          </cell>
          <cell r="S7">
            <v>16</v>
          </cell>
          <cell r="U7">
            <v>50</v>
          </cell>
          <cell r="V7">
            <v>6.6699999999999995E-4</v>
          </cell>
          <cell r="W7">
            <v>49.999333</v>
          </cell>
        </row>
        <row r="8">
          <cell r="A8">
            <v>4</v>
          </cell>
          <cell r="B8" t="str">
            <v>1.0 Container
Provides attachment mechanism to lid.</v>
          </cell>
          <cell r="C8" t="str">
            <v>1.2 Deformed</v>
          </cell>
          <cell r="D8" t="str">
            <v>1.2.1 Reduced liquid content (5)</v>
          </cell>
          <cell r="E8">
            <v>5</v>
          </cell>
          <cell r="G8" t="str">
            <v>1.2.A Thermal deformation</v>
          </cell>
          <cell r="H8">
            <v>7</v>
          </cell>
          <cell r="I8" t="str">
            <v>M-104,Thermal Cycle Testing (3) Engineering Analysis (2)</v>
          </cell>
          <cell r="J8">
            <v>2</v>
          </cell>
          <cell r="K8">
            <v>70</v>
          </cell>
          <cell r="L8" t="str">
            <v>Change Plastic Material</v>
          </cell>
          <cell r="M8" t="str">
            <v>Release Eng..
Oct 31, 93</v>
          </cell>
          <cell r="O8" t="str">
            <v>Plastic PT-333</v>
          </cell>
          <cell r="P8">
            <v>8</v>
          </cell>
          <cell r="Q8">
            <v>1</v>
          </cell>
          <cell r="R8">
            <v>2</v>
          </cell>
          <cell r="S8">
            <v>16</v>
          </cell>
          <cell r="U8">
            <v>50</v>
          </cell>
          <cell r="V8">
            <v>6.6699999999999995E-4</v>
          </cell>
          <cell r="W8">
            <v>49.999333</v>
          </cell>
        </row>
        <row r="9">
          <cell r="A9">
            <v>5</v>
          </cell>
          <cell r="B9" t="str">
            <v>1.0 Container
Provides attachment mechanism to lid.</v>
          </cell>
          <cell r="C9" t="str">
            <v>1.3 Loose</v>
          </cell>
          <cell r="D9" t="str">
            <v>1.3.1 Loss of liquid (8)</v>
          </cell>
          <cell r="E9">
            <v>8</v>
          </cell>
          <cell r="G9" t="str">
            <v>1.3.A Improper Thread Design</v>
          </cell>
          <cell r="H9">
            <v>2</v>
          </cell>
          <cell r="I9" t="str">
            <v>Engineering Analysis (2)</v>
          </cell>
          <cell r="J9">
            <v>2</v>
          </cell>
          <cell r="K9">
            <v>32</v>
          </cell>
          <cell r="L9" t="str">
            <v xml:space="preserve">Design Verification &amp; DOE Study </v>
          </cell>
          <cell r="M9" t="str">
            <v>Release Eng..
Oct 31, 94</v>
          </cell>
          <cell r="O9" t="str">
            <v xml:space="preserve">Design Verification &amp; DOE Study </v>
          </cell>
          <cell r="P9">
            <v>8</v>
          </cell>
          <cell r="Q9">
            <v>1</v>
          </cell>
          <cell r="R9">
            <v>1</v>
          </cell>
          <cell r="S9">
            <v>8</v>
          </cell>
          <cell r="U9">
            <v>6.6670000000000002E-3</v>
          </cell>
          <cell r="V9">
            <v>6.6699999999999995E-4</v>
          </cell>
          <cell r="W9">
            <v>6.0000000000000001E-3</v>
          </cell>
        </row>
        <row r="10">
          <cell r="A10">
            <v>6</v>
          </cell>
          <cell r="B10" t="str">
            <v>1.0 Container
Provides attachment mechanism to lid.</v>
          </cell>
          <cell r="C10" t="str">
            <v>1.4 Does not attach</v>
          </cell>
          <cell r="D10" t="str">
            <v>1.4.1 Loss of label (8) label (8)
1.4.2 Label peels halfway off (6)</v>
          </cell>
          <cell r="E10">
            <v>8</v>
          </cell>
          <cell r="G10" t="str">
            <v>1.4.A Chemical incompatibility</v>
          </cell>
          <cell r="H10">
            <v>2</v>
          </cell>
          <cell r="I10" t="str">
            <v>CT-Chemical Interaction Testing (1)</v>
          </cell>
          <cell r="J10">
            <v>1</v>
          </cell>
          <cell r="K10">
            <v>16</v>
          </cell>
          <cell r="L10" t="str">
            <v>Visit label Supplier</v>
          </cell>
          <cell r="M10" t="str">
            <v>R/T, Release Eng.. Nov. 15, 93</v>
          </cell>
          <cell r="O10" t="str">
            <v>Visit Supplier</v>
          </cell>
          <cell r="P10">
            <v>8</v>
          </cell>
          <cell r="Q10">
            <v>1</v>
          </cell>
          <cell r="R10">
            <v>1</v>
          </cell>
          <cell r="S10">
            <v>8</v>
          </cell>
          <cell r="U10">
            <v>6.6670000000000002E-3</v>
          </cell>
          <cell r="V10">
            <v>6.6699999999999995E-4</v>
          </cell>
          <cell r="W10">
            <v>6.0000000000000001E-3</v>
          </cell>
        </row>
        <row r="11">
          <cell r="A11">
            <v>7</v>
          </cell>
          <cell r="B11" t="str">
            <v>1.0 Container
Stands in upright position.</v>
          </cell>
          <cell r="C11" t="str">
            <v>1.4 Does not attach</v>
          </cell>
          <cell r="D11" t="str">
            <v>1.4.1 Loss of label (8) label (8)
1.4.2 Label peels halfway off (6)</v>
          </cell>
          <cell r="E11">
            <v>8</v>
          </cell>
          <cell r="G11" t="str">
            <v>1.4.B Improper adhesive</v>
          </cell>
          <cell r="H11">
            <v>3</v>
          </cell>
          <cell r="I11" t="str">
            <v>Engineering Analysis (2)
CT-Chemical Interaction Testing (4)</v>
          </cell>
          <cell r="J11">
            <v>2</v>
          </cell>
          <cell r="K11">
            <v>48</v>
          </cell>
          <cell r="L11" t="str">
            <v>Visit label Supplier</v>
          </cell>
          <cell r="M11" t="str">
            <v>R/T, Release Eng.. Nov. 15, 94</v>
          </cell>
          <cell r="O11" t="str">
            <v>Visit Supplier</v>
          </cell>
          <cell r="P11">
            <v>8</v>
          </cell>
          <cell r="Q11">
            <v>1</v>
          </cell>
          <cell r="R11">
            <v>1</v>
          </cell>
          <cell r="S11">
            <v>8</v>
          </cell>
          <cell r="U11">
            <v>6.6667000000000004E-2</v>
          </cell>
          <cell r="V11">
            <v>6.6699999999999995E-4</v>
          </cell>
          <cell r="W11">
            <v>6.6000000000000003E-2</v>
          </cell>
        </row>
        <row r="12">
          <cell r="A12">
            <v>8</v>
          </cell>
          <cell r="B12" t="str">
            <v>1.0 Container
Stands in upright position.</v>
          </cell>
          <cell r="C12" t="str">
            <v>1.5 Falls down</v>
          </cell>
          <cell r="D12" t="str">
            <v>1.5.1 Possible loss of liquid (8)
1.5.2 Break Lid (7) 
1.5.3 Break Plunger (8) 
1.5.4 Scratched label (4) 
1.5.5 Tears off label (5)</v>
          </cell>
          <cell r="E12">
            <v>8</v>
          </cell>
          <cell r="G12" t="str">
            <v>1.5.A Thermal deformation</v>
          </cell>
          <cell r="H12">
            <v>7</v>
          </cell>
          <cell r="I12" t="str">
            <v>M-104,Thermal Cycle Testing (3) 
Engineering Analysis (2)</v>
          </cell>
          <cell r="J12">
            <v>2</v>
          </cell>
          <cell r="K12">
            <v>112</v>
          </cell>
          <cell r="L12" t="str">
            <v>Change Plastic Material</v>
          </cell>
          <cell r="M12" t="str">
            <v>Release Eng.. 
Oct 31, 93</v>
          </cell>
          <cell r="O12" t="str">
            <v>Plastic PT-333</v>
          </cell>
          <cell r="P12">
            <v>8</v>
          </cell>
          <cell r="Q12">
            <v>1</v>
          </cell>
          <cell r="R12">
            <v>2</v>
          </cell>
          <cell r="S12">
            <v>16</v>
          </cell>
          <cell r="U12">
            <v>50</v>
          </cell>
          <cell r="V12">
            <v>6.6699999999999995E-4</v>
          </cell>
          <cell r="W12">
            <v>49.999333</v>
          </cell>
        </row>
        <row r="13">
          <cell r="A13">
            <v>9</v>
          </cell>
          <cell r="B13" t="str">
            <v>2.0 Lid/Plunger
Seals container</v>
          </cell>
          <cell r="C13" t="str">
            <v>1.5 Falls down</v>
          </cell>
          <cell r="D13" t="str">
            <v>1.5.1 Possible loss of liquid (8)
1.5.2 Break Lid (7) 
1.5.3 Break Plunger (8) 
1.5.4 Scratched label (4) 
1.5.5 Tears off label (5)</v>
          </cell>
          <cell r="E13">
            <v>8</v>
          </cell>
          <cell r="G13" t="str">
            <v>1.5.B Shock/Impact</v>
          </cell>
          <cell r="H13">
            <v>2</v>
          </cell>
          <cell r="I13" t="str">
            <v>M-101,Drop Test (6)
M-102,Compression Test (4)
M-103,Thermal Cycle w/Drop testing (4)</v>
          </cell>
          <cell r="J13">
            <v>4</v>
          </cell>
          <cell r="K13">
            <v>64</v>
          </cell>
          <cell r="L13" t="str">
            <v>Develop better Drop Test.</v>
          </cell>
          <cell r="M13" t="str">
            <v>Release Eng.. 
Oct 31, 94</v>
          </cell>
          <cell r="O13" t="str">
            <v>Test M-101.1</v>
          </cell>
          <cell r="P13">
            <v>8</v>
          </cell>
          <cell r="Q13">
            <v>2</v>
          </cell>
          <cell r="R13">
            <v>1</v>
          </cell>
          <cell r="S13">
            <v>16</v>
          </cell>
          <cell r="U13">
            <v>6.6670000000000002E-3</v>
          </cell>
          <cell r="V13">
            <v>6.6670000000000002E-3</v>
          </cell>
          <cell r="W13">
            <v>0</v>
          </cell>
        </row>
        <row r="14">
          <cell r="A14">
            <v>10</v>
          </cell>
          <cell r="B14" t="str">
            <v>2.0 Lid/Plunger
Seals container</v>
          </cell>
          <cell r="C14" t="str">
            <v>2.1 Leaks</v>
          </cell>
          <cell r="D14" t="str">
            <v>2.1.1 Loss of Liquid (8)</v>
          </cell>
          <cell r="E14">
            <v>8</v>
          </cell>
          <cell r="G14" t="str">
            <v>2.1.A Shock/Impact</v>
          </cell>
          <cell r="H14">
            <v>5</v>
          </cell>
          <cell r="I14" t="str">
            <v>M-101,Drop Test (8) 
M-102,Compression Test (6) 
M-103,Thermal Cycle w/Drop testing (6)</v>
          </cell>
          <cell r="J14">
            <v>6</v>
          </cell>
          <cell r="K14">
            <v>240</v>
          </cell>
          <cell r="L14" t="str">
            <v>Develop better Drop Test.
Strengthen Lid/Plunger</v>
          </cell>
          <cell r="M14" t="str">
            <v>Release Eng.. 
Oct 31, 94
Release Eng.. Nov. 15, 93</v>
          </cell>
          <cell r="O14" t="str">
            <v>Test M-101.1,
M-101.2
Redesigned Plunger stem</v>
          </cell>
          <cell r="P14">
            <v>8</v>
          </cell>
          <cell r="Q14">
            <v>2</v>
          </cell>
          <cell r="R14">
            <v>1</v>
          </cell>
          <cell r="S14">
            <v>16</v>
          </cell>
          <cell r="U14">
            <v>2.5</v>
          </cell>
          <cell r="V14">
            <v>6.6670000000000002E-3</v>
          </cell>
          <cell r="W14">
            <v>2.4933329999999998</v>
          </cell>
        </row>
        <row r="15">
          <cell r="A15">
            <v>11</v>
          </cell>
          <cell r="B15" t="str">
            <v>2.0 Lid/Plunger
Seals container</v>
          </cell>
          <cell r="C15">
            <v>2.1</v>
          </cell>
          <cell r="D15" t="str">
            <v>2.1.1 Loss of Liquid (8)</v>
          </cell>
          <cell r="E15">
            <v>8</v>
          </cell>
          <cell r="G15" t="str">
            <v>2.1.B Chemical incompatibility</v>
          </cell>
          <cell r="H15">
            <v>1</v>
          </cell>
          <cell r="I15" t="str">
            <v>CT-Chemical Interaction Testing (1)</v>
          </cell>
          <cell r="J15">
            <v>1</v>
          </cell>
          <cell r="K15">
            <v>8</v>
          </cell>
          <cell r="L15" t="str">
            <v>None</v>
          </cell>
          <cell r="S15">
            <v>0</v>
          </cell>
          <cell r="U15">
            <v>6.6699999999999995E-4</v>
          </cell>
          <cell r="V15" t="str">
            <v xml:space="preserve"> - </v>
          </cell>
          <cell r="W15" t="str">
            <v/>
          </cell>
        </row>
        <row r="16">
          <cell r="A16">
            <v>12</v>
          </cell>
          <cell r="B16" t="str">
            <v>2.0 Lid/Plunger
Seals container</v>
          </cell>
          <cell r="C16" t="str">
            <v>2.1 Leaks</v>
          </cell>
          <cell r="D16" t="str">
            <v>2.1.1 Loss of Liquid (8)</v>
          </cell>
          <cell r="E16">
            <v>8</v>
          </cell>
          <cell r="G16" t="str">
            <v>2.1.C Thermal degradation</v>
          </cell>
          <cell r="H16">
            <v>1</v>
          </cell>
          <cell r="I16" t="str">
            <v>M-104,Thermal Cycle Testing (3)
Engineering Analysis (2)</v>
          </cell>
          <cell r="J16">
            <v>2</v>
          </cell>
          <cell r="K16">
            <v>16</v>
          </cell>
          <cell r="L16" t="str">
            <v>None</v>
          </cell>
          <cell r="S16">
            <v>0</v>
          </cell>
          <cell r="U16">
            <v>6.6699999999999995E-4</v>
          </cell>
          <cell r="V16" t="str">
            <v xml:space="preserve"> - </v>
          </cell>
          <cell r="W16" t="str">
            <v/>
          </cell>
        </row>
        <row r="17">
          <cell r="A17">
            <v>13</v>
          </cell>
          <cell r="B17" t="str">
            <v>2.0 Lid/Plunger
Seals container</v>
          </cell>
          <cell r="C17" t="str">
            <v>2.1 Leaks</v>
          </cell>
          <cell r="D17" t="str">
            <v>2.1.1 Loss of Liquid (8)</v>
          </cell>
          <cell r="E17">
            <v>8</v>
          </cell>
          <cell r="G17" t="str">
            <v>2.1.D Thermal deformation</v>
          </cell>
          <cell r="H17">
            <v>1</v>
          </cell>
          <cell r="I17" t="str">
            <v>M-104,Thermal Cycle Testing (3)
Engineering Analysis (2)</v>
          </cell>
          <cell r="J17">
            <v>2</v>
          </cell>
          <cell r="K17">
            <v>16</v>
          </cell>
          <cell r="L17" t="str">
            <v>None</v>
          </cell>
          <cell r="S17">
            <v>0</v>
          </cell>
          <cell r="U17">
            <v>6.6699999999999995E-4</v>
          </cell>
          <cell r="V17" t="str">
            <v xml:space="preserve"> - </v>
          </cell>
          <cell r="W17" t="str">
            <v/>
          </cell>
        </row>
        <row r="18">
          <cell r="A18">
            <v>14</v>
          </cell>
          <cell r="B18" t="str">
            <v>2.0 Lid/Plunger
Dispenses specific amount of liquid (Soap)</v>
          </cell>
          <cell r="C18" t="str">
            <v>2.1 Leaks</v>
          </cell>
          <cell r="D18" t="str">
            <v>2.1.1 Loss of Liquid (8)</v>
          </cell>
          <cell r="E18">
            <v>8</v>
          </cell>
          <cell r="G18" t="str">
            <v>2.1.E Improper Thread Design</v>
          </cell>
          <cell r="H18">
            <v>2</v>
          </cell>
          <cell r="I18" t="str">
            <v>Engineering Analysis (2)</v>
          </cell>
          <cell r="J18">
            <v>2</v>
          </cell>
          <cell r="K18">
            <v>32</v>
          </cell>
          <cell r="L18" t="str">
            <v xml:space="preserve">Design Verification &amp; DOE Study </v>
          </cell>
          <cell r="M18" t="str">
            <v>Release Eng.. 
Oct 31, 93</v>
          </cell>
          <cell r="O18" t="str">
            <v xml:space="preserve">Design Verification &amp; DOE Study </v>
          </cell>
          <cell r="P18">
            <v>8</v>
          </cell>
          <cell r="Q18">
            <v>1</v>
          </cell>
          <cell r="R18">
            <v>1</v>
          </cell>
          <cell r="S18">
            <v>8</v>
          </cell>
          <cell r="U18">
            <v>6.6670000000000002E-3</v>
          </cell>
          <cell r="V18">
            <v>6.6699999999999995E-4</v>
          </cell>
          <cell r="W18">
            <v>6.0000000000000001E-3</v>
          </cell>
        </row>
        <row r="19">
          <cell r="A19">
            <v>15</v>
          </cell>
          <cell r="B19" t="str">
            <v>2.0 Lid/Plunger
Dispenses specific amount of liquid (Soap)</v>
          </cell>
          <cell r="C19" t="str">
            <v>2.2 No liquid</v>
          </cell>
          <cell r="D19" t="str">
            <v>2.2.1 System inoperative (8)</v>
          </cell>
          <cell r="E19">
            <v>8</v>
          </cell>
          <cell r="G19" t="str">
            <v>2.2.A Dimensional Incompatibility</v>
          </cell>
          <cell r="H19">
            <v>4</v>
          </cell>
          <cell r="I19" t="str">
            <v>Engineering Analysis (2)</v>
          </cell>
          <cell r="J19">
            <v>2</v>
          </cell>
          <cell r="K19">
            <v>64</v>
          </cell>
          <cell r="L19" t="str">
            <v xml:space="preserve">Design Verification &amp; DOE Study </v>
          </cell>
          <cell r="M19" t="str">
            <v>Release Eng.. 
Oct 31, 93</v>
          </cell>
          <cell r="O19" t="str">
            <v xml:space="preserve">Design Verification &amp; DOE Study </v>
          </cell>
          <cell r="P19">
            <v>8</v>
          </cell>
          <cell r="Q19">
            <v>1</v>
          </cell>
          <cell r="R19">
            <v>2</v>
          </cell>
          <cell r="S19">
            <v>16</v>
          </cell>
          <cell r="U19">
            <v>0.5</v>
          </cell>
          <cell r="V19">
            <v>6.6699999999999995E-4</v>
          </cell>
          <cell r="W19">
            <v>0.49933300000000003</v>
          </cell>
        </row>
        <row r="20">
          <cell r="A20">
            <v>16</v>
          </cell>
          <cell r="B20" t="str">
            <v>2.0 Lid/Plunger
Dispenses specific amount of liquid (Soap)</v>
          </cell>
          <cell r="C20" t="str">
            <v>2.2 No liquid</v>
          </cell>
          <cell r="D20" t="str">
            <v>2.2.1 System inoperative (8)</v>
          </cell>
          <cell r="E20">
            <v>8</v>
          </cell>
          <cell r="G20" t="str">
            <v>2.2.B Thermal Parts expansion</v>
          </cell>
          <cell r="H20">
            <v>1</v>
          </cell>
          <cell r="I20" t="str">
            <v>M-104,Thermal Cycle Testing (3)
Engineering Analysis (2)</v>
          </cell>
          <cell r="J20">
            <v>2</v>
          </cell>
          <cell r="K20">
            <v>16</v>
          </cell>
          <cell r="L20" t="str">
            <v>None</v>
          </cell>
          <cell r="S20">
            <v>0</v>
          </cell>
          <cell r="U20">
            <v>6.6699999999999995E-4</v>
          </cell>
          <cell r="V20" t="str">
            <v xml:space="preserve"> - </v>
          </cell>
          <cell r="W20" t="str">
            <v/>
          </cell>
        </row>
        <row r="21">
          <cell r="A21">
            <v>17</v>
          </cell>
          <cell r="B21" t="str">
            <v>2.0 Lid/Plunger
Dispenses specific amount of liquid (Soap)</v>
          </cell>
          <cell r="C21" t="str">
            <v>2.2 No liquid</v>
          </cell>
          <cell r="D21" t="str">
            <v>2.2.1 System inoperative (8)</v>
          </cell>
          <cell r="E21">
            <v>8</v>
          </cell>
          <cell r="G21" t="str">
            <v>2.2.C Blockage (Soap Hardening)</v>
          </cell>
          <cell r="H21">
            <v>4</v>
          </cell>
          <cell r="I21" t="str">
            <v>Engineering Analysis (2)</v>
          </cell>
          <cell r="J21">
            <v>2</v>
          </cell>
          <cell r="K21">
            <v>64</v>
          </cell>
          <cell r="L21" t="str">
            <v>DOE Study 
Visit Soap Manufacturers</v>
          </cell>
          <cell r="M21" t="str">
            <v>Release Eng.. 
Oct 31, 93
Group Visit 
Nov. 1, 93</v>
          </cell>
          <cell r="O21" t="str">
            <v>DOE Study 
Visit Soap Manufacturers</v>
          </cell>
          <cell r="P21">
            <v>8</v>
          </cell>
          <cell r="Q21">
            <v>2</v>
          </cell>
          <cell r="R21">
            <v>2</v>
          </cell>
          <cell r="S21">
            <v>32</v>
          </cell>
          <cell r="U21">
            <v>0.5</v>
          </cell>
          <cell r="V21">
            <v>6.6670000000000002E-3</v>
          </cell>
          <cell r="W21">
            <v>0.49333300000000002</v>
          </cell>
        </row>
        <row r="22">
          <cell r="A22">
            <v>18</v>
          </cell>
          <cell r="B22" t="str">
            <v>2.0 Lid/Plunger
Dispenses specific amount of liquid (Soap)</v>
          </cell>
          <cell r="C22" t="str">
            <v>2.2 No liquid</v>
          </cell>
          <cell r="D22" t="str">
            <v>2.2.1 System inoperative (8)</v>
          </cell>
          <cell r="E22">
            <v>8</v>
          </cell>
          <cell r="G22" t="str">
            <v>2.2.D Thermal deformation</v>
          </cell>
          <cell r="H22">
            <v>1</v>
          </cell>
          <cell r="I22" t="str">
            <v>M-104,Thermal Cycle Testing (3)
Engineering Analysis (2)</v>
          </cell>
          <cell r="J22">
            <v>2</v>
          </cell>
          <cell r="K22">
            <v>16</v>
          </cell>
          <cell r="L22" t="str">
            <v>None</v>
          </cell>
          <cell r="S22">
            <v>0</v>
          </cell>
          <cell r="U22">
            <v>6.6699999999999995E-4</v>
          </cell>
          <cell r="V22" t="str">
            <v xml:space="preserve"> - </v>
          </cell>
          <cell r="W22" t="str">
            <v/>
          </cell>
        </row>
        <row r="23">
          <cell r="A23">
            <v>19</v>
          </cell>
          <cell r="B23" t="str">
            <v>2.0 Lid/Plunger
Dispenses specific amount of liquid (Soap)</v>
          </cell>
          <cell r="C23" t="str">
            <v>2.3 Insufficient</v>
          </cell>
          <cell r="D23" t="str">
            <v>2.3.1 Requires multiple operations (5)</v>
          </cell>
          <cell r="E23">
            <v>5</v>
          </cell>
          <cell r="G23" t="str">
            <v>2.3.A Dimensional Incompatibility</v>
          </cell>
          <cell r="H23">
            <v>2</v>
          </cell>
          <cell r="I23" t="str">
            <v>Engineering Analysis (2)</v>
          </cell>
          <cell r="J23">
            <v>2</v>
          </cell>
          <cell r="K23">
            <v>20</v>
          </cell>
          <cell r="L23" t="str">
            <v xml:space="preserve">Design Verification &amp; DOE Study </v>
          </cell>
          <cell r="M23" t="str">
            <v>Release Eng.. 
Oct 31, 93</v>
          </cell>
          <cell r="O23" t="str">
            <v xml:space="preserve">Design Verification &amp; DOE Study </v>
          </cell>
          <cell r="P23">
            <v>8</v>
          </cell>
          <cell r="Q23">
            <v>1</v>
          </cell>
          <cell r="R23">
            <v>2</v>
          </cell>
          <cell r="S23">
            <v>16</v>
          </cell>
          <cell r="U23">
            <v>6.6670000000000002E-3</v>
          </cell>
          <cell r="V23">
            <v>6.6699999999999995E-4</v>
          </cell>
          <cell r="W23">
            <v>6.0000000000000001E-3</v>
          </cell>
        </row>
        <row r="24">
          <cell r="A24">
            <v>20</v>
          </cell>
          <cell r="B24" t="str">
            <v>2.0 Lid/Plunger
Dispenses specific amount of liquid (Soap)</v>
          </cell>
          <cell r="C24" t="str">
            <v>2.3 Insufficient</v>
          </cell>
          <cell r="D24" t="str">
            <v>2.3.1 Requires multiple operations (5)</v>
          </cell>
          <cell r="E24">
            <v>5</v>
          </cell>
          <cell r="G24" t="str">
            <v>2.3.B Plunger volume too small</v>
          </cell>
          <cell r="H24">
            <v>3</v>
          </cell>
          <cell r="I24" t="str">
            <v>Engineering Analysis (2)</v>
          </cell>
          <cell r="J24">
            <v>2</v>
          </cell>
          <cell r="K24">
            <v>30</v>
          </cell>
          <cell r="L24" t="str">
            <v>Design Verification</v>
          </cell>
          <cell r="M24" t="str">
            <v>Release Eng.. 
Oct 31, 93</v>
          </cell>
          <cell r="O24" t="str">
            <v>Design Verification</v>
          </cell>
          <cell r="P24">
            <v>8</v>
          </cell>
          <cell r="Q24">
            <v>1</v>
          </cell>
          <cell r="R24">
            <v>2</v>
          </cell>
          <cell r="S24">
            <v>16</v>
          </cell>
          <cell r="U24">
            <v>6.6667000000000004E-2</v>
          </cell>
          <cell r="V24">
            <v>6.6699999999999995E-4</v>
          </cell>
          <cell r="W24">
            <v>6.6000000000000003E-2</v>
          </cell>
        </row>
        <row r="25">
          <cell r="A25">
            <v>21</v>
          </cell>
          <cell r="B25" t="str">
            <v>2.0 Lid/Plunger
Dispenses specific amount of liquid (Soap)</v>
          </cell>
          <cell r="C25" t="str">
            <v>2.3 Insufficient</v>
          </cell>
          <cell r="D25" t="str">
            <v>2.3.1 Requires multiple operations (5)</v>
          </cell>
          <cell r="E25">
            <v>5</v>
          </cell>
          <cell r="G25" t="str">
            <v>2.3.C Thermal deformation</v>
          </cell>
          <cell r="H25">
            <v>1</v>
          </cell>
          <cell r="I25" t="str">
            <v>M-104,Thermal Cycle Testing (3)
Engineering Analysis (2)</v>
          </cell>
          <cell r="J25">
            <v>2</v>
          </cell>
          <cell r="K25">
            <v>10</v>
          </cell>
          <cell r="L25" t="str">
            <v>None</v>
          </cell>
          <cell r="S25">
            <v>0</v>
          </cell>
          <cell r="U25">
            <v>6.6699999999999995E-4</v>
          </cell>
          <cell r="V25" t="str">
            <v xml:space="preserve"> - </v>
          </cell>
          <cell r="W25" t="str">
            <v/>
          </cell>
        </row>
        <row r="26">
          <cell r="A26">
            <v>22</v>
          </cell>
          <cell r="B26" t="str">
            <v>2.0 Lid/Plunger
Provides locking mechanism</v>
          </cell>
          <cell r="C26" t="str">
            <v>2.4 Excessive</v>
          </cell>
          <cell r="D26" t="str">
            <v>2.4.1 Liquid waste and mess (6)</v>
          </cell>
          <cell r="E26">
            <v>6</v>
          </cell>
          <cell r="G26" t="str">
            <v>2.4.A Plunger volume too large</v>
          </cell>
          <cell r="H26">
            <v>3</v>
          </cell>
          <cell r="I26" t="str">
            <v>Engineering Analysis (2)</v>
          </cell>
          <cell r="J26">
            <v>2</v>
          </cell>
          <cell r="K26">
            <v>36</v>
          </cell>
          <cell r="L26" t="str">
            <v>Design Verification</v>
          </cell>
          <cell r="M26" t="str">
            <v>Release Eng.. 
Oct 31, 93</v>
          </cell>
          <cell r="O26" t="str">
            <v>Design Verification</v>
          </cell>
          <cell r="P26">
            <v>8</v>
          </cell>
          <cell r="Q26">
            <v>1</v>
          </cell>
          <cell r="R26">
            <v>2</v>
          </cell>
          <cell r="S26">
            <v>16</v>
          </cell>
          <cell r="U26">
            <v>6.6667000000000004E-2</v>
          </cell>
          <cell r="V26">
            <v>6.6699999999999995E-4</v>
          </cell>
          <cell r="W26">
            <v>6.6000000000000003E-2</v>
          </cell>
        </row>
        <row r="27">
          <cell r="A27">
            <v>23</v>
          </cell>
          <cell r="B27" t="str">
            <v>2.0 Lid/Plunger
Provides locking mechanism</v>
          </cell>
          <cell r="C27" t="str">
            <v>2.5 Does not lock</v>
          </cell>
          <cell r="D27" t="str">
            <v>2.5.1 Loss of liquid (8)</v>
          </cell>
          <cell r="E27">
            <v>8</v>
          </cell>
          <cell r="G27" t="str">
            <v>2.5.A Dimensional Incompatibility</v>
          </cell>
          <cell r="H27">
            <v>5</v>
          </cell>
          <cell r="I27" t="str">
            <v>Engineering Analysis (2)</v>
          </cell>
          <cell r="J27">
            <v>2</v>
          </cell>
          <cell r="K27">
            <v>80</v>
          </cell>
          <cell r="L27" t="str">
            <v>Design Verification</v>
          </cell>
          <cell r="M27" t="str">
            <v>Release Eng.. 
Oct 31, 93</v>
          </cell>
          <cell r="O27" t="str">
            <v>Design Verification</v>
          </cell>
          <cell r="P27">
            <v>8</v>
          </cell>
          <cell r="Q27">
            <v>1</v>
          </cell>
          <cell r="R27">
            <v>2</v>
          </cell>
          <cell r="S27">
            <v>16</v>
          </cell>
          <cell r="U27">
            <v>2.5</v>
          </cell>
          <cell r="V27">
            <v>6.6699999999999995E-4</v>
          </cell>
          <cell r="W27">
            <v>2.499333</v>
          </cell>
        </row>
        <row r="28">
          <cell r="A28">
            <v>24</v>
          </cell>
          <cell r="B28" t="str">
            <v>2.0 Lid/Plunger
Provides locking mechanism</v>
          </cell>
          <cell r="C28" t="str">
            <v>2.5 Does not lock</v>
          </cell>
          <cell r="D28" t="str">
            <v>2.5.1 Loss of liquid (8)</v>
          </cell>
          <cell r="E28">
            <v>8</v>
          </cell>
          <cell r="G28" t="str">
            <v>2.5.B Thermal Parts expansion</v>
          </cell>
          <cell r="H28">
            <v>1</v>
          </cell>
          <cell r="I28" t="str">
            <v>M-104,Thermal Cycle Testing (3)
Engineering Analysis (2)</v>
          </cell>
          <cell r="J28">
            <v>2</v>
          </cell>
          <cell r="K28">
            <v>16</v>
          </cell>
          <cell r="L28" t="str">
            <v>None</v>
          </cell>
          <cell r="S28">
            <v>0</v>
          </cell>
          <cell r="U28">
            <v>6.6699999999999995E-4</v>
          </cell>
          <cell r="V28" t="str">
            <v xml:space="preserve"> - </v>
          </cell>
          <cell r="W28" t="str">
            <v/>
          </cell>
        </row>
        <row r="29">
          <cell r="A29">
            <v>25</v>
          </cell>
          <cell r="B29" t="str">
            <v>2.0 Lid/Plunger
Provides locking mechanism</v>
          </cell>
          <cell r="C29" t="str">
            <v>2.5 Does not lock</v>
          </cell>
          <cell r="D29" t="str">
            <v>2.5.1 Loss of liquid (8)</v>
          </cell>
          <cell r="E29">
            <v>8</v>
          </cell>
          <cell r="G29" t="str">
            <v>2.5.C Thermal deformation</v>
          </cell>
          <cell r="H29">
            <v>1</v>
          </cell>
          <cell r="I29" t="str">
            <v>M-104,Thermal Cycle Testing (3)
Engineering Analysis (2)</v>
          </cell>
          <cell r="J29">
            <v>2</v>
          </cell>
          <cell r="K29">
            <v>16</v>
          </cell>
          <cell r="L29" t="str">
            <v>None</v>
          </cell>
          <cell r="S29">
            <v>0</v>
          </cell>
          <cell r="U29">
            <v>6.6699999999999995E-4</v>
          </cell>
          <cell r="V29" t="str">
            <v xml:space="preserve"> - </v>
          </cell>
          <cell r="W29" t="str">
            <v/>
          </cell>
        </row>
        <row r="30">
          <cell r="A30">
            <v>26</v>
          </cell>
          <cell r="B30" t="str">
            <v>2.0 Lid/Plunger
Provides locking mechanism</v>
          </cell>
          <cell r="C30" t="str">
            <v>2.5 Does not lock</v>
          </cell>
          <cell r="D30" t="str">
            <v>2.5.1 Loss of liquid (8)</v>
          </cell>
          <cell r="E30">
            <v>8</v>
          </cell>
          <cell r="G30" t="str">
            <v>2.5.D Shock/Impact</v>
          </cell>
          <cell r="H30">
            <v>5</v>
          </cell>
          <cell r="I30" t="str">
            <v>M-101,Drop Test (8)
M-102,Compression Test (6) 
M-103,Thermal Cycle w/Drop testing (6)</v>
          </cell>
          <cell r="J30">
            <v>6</v>
          </cell>
          <cell r="K30">
            <v>240</v>
          </cell>
          <cell r="L30" t="str">
            <v>Develop better Drop Test.
Strengthen Lid/Plunger</v>
          </cell>
          <cell r="M30" t="str">
            <v>Release Eng.. 
Oct 31, 94
Release Eng.. Nov. 15, 93</v>
          </cell>
          <cell r="O30" t="str">
            <v>Test M-101.1,
M-101.2
Redesigned Plunger stem</v>
          </cell>
          <cell r="P30">
            <v>8</v>
          </cell>
          <cell r="Q30">
            <v>1</v>
          </cell>
          <cell r="R30">
            <v>2</v>
          </cell>
          <cell r="S30">
            <v>16</v>
          </cell>
          <cell r="U30">
            <v>2.5</v>
          </cell>
          <cell r="V30">
            <v>6.6699999999999995E-4</v>
          </cell>
          <cell r="W30">
            <v>2.499333</v>
          </cell>
        </row>
        <row r="31">
          <cell r="A31">
            <v>27</v>
          </cell>
          <cell r="B31" t="str">
            <v>2.0 Lid/Plunger
Provides locking mechanism</v>
          </cell>
          <cell r="C31" t="str">
            <v>2.6 Does not unlock</v>
          </cell>
          <cell r="D31" t="str">
            <v>2.6.1 System inoperative (8)inoperative (8)
2.6.2 Customer breaks finger (10)</v>
          </cell>
          <cell r="E31">
            <v>10</v>
          </cell>
          <cell r="F31" t="str">
            <v>X</v>
          </cell>
          <cell r="G31" t="str">
            <v>2.6.A Dimensional Incompatibility</v>
          </cell>
          <cell r="H31">
            <v>5</v>
          </cell>
          <cell r="I31" t="str">
            <v>Engineering Analysis (2)
- Stack-Up Study</v>
          </cell>
          <cell r="J31">
            <v>2</v>
          </cell>
          <cell r="K31">
            <v>100</v>
          </cell>
          <cell r="L31" t="str">
            <v>Tighten thread specifications (3NCF-12)</v>
          </cell>
          <cell r="M31" t="str">
            <v>Release Eng.. 
 Oct 31, 94</v>
          </cell>
          <cell r="O31" t="str">
            <v>Thread spec. tightened, KPC added to drawing</v>
          </cell>
          <cell r="P31">
            <v>10</v>
          </cell>
          <cell r="Q31">
            <v>1</v>
          </cell>
          <cell r="R31">
            <v>2</v>
          </cell>
          <cell r="S31">
            <v>20</v>
          </cell>
          <cell r="U31">
            <v>2.5</v>
          </cell>
          <cell r="V31">
            <v>6.6699999999999995E-4</v>
          </cell>
          <cell r="W31">
            <v>2.499333</v>
          </cell>
        </row>
        <row r="32">
          <cell r="A32">
            <v>28</v>
          </cell>
          <cell r="B32" t="str">
            <v>2.0 Lid/Plunger
Provides locking mechanism</v>
          </cell>
          <cell r="C32" t="str">
            <v>2.6 Does not unlock</v>
          </cell>
          <cell r="D32" t="str">
            <v>2.6.1 System inoperative (8)inoperative (8)
2.6.2 Customer breaks finger (10)</v>
          </cell>
          <cell r="E32">
            <v>10</v>
          </cell>
          <cell r="G32" t="str">
            <v>2.6.B Thermal Parts expansion</v>
          </cell>
          <cell r="H32">
            <v>1</v>
          </cell>
          <cell r="I32" t="str">
            <v>M-104,Thermal Cycle Testing (3)
Engineering Analysis (2)</v>
          </cell>
          <cell r="J32">
            <v>2</v>
          </cell>
          <cell r="K32">
            <v>20</v>
          </cell>
          <cell r="L32" t="str">
            <v>None</v>
          </cell>
          <cell r="M32" t="str">
            <v>me</v>
          </cell>
          <cell r="S32">
            <v>0</v>
          </cell>
          <cell r="U32">
            <v>6.6699999999999995E-4</v>
          </cell>
          <cell r="V32" t="str">
            <v xml:space="preserve"> - </v>
          </cell>
          <cell r="W32" t="str">
            <v/>
          </cell>
        </row>
        <row r="33">
          <cell r="A33">
            <v>29</v>
          </cell>
          <cell r="B33" t="str">
            <v>2.0 Lid/Plunger
Provides locking mechanism</v>
          </cell>
          <cell r="C33" t="str">
            <v>2.6 Does not unlock</v>
          </cell>
          <cell r="D33" t="str">
            <v>2.6.1 System inoperative (8)inoperative (8)
2.6.2 Customer breaks finger (10)</v>
          </cell>
          <cell r="E33">
            <v>10</v>
          </cell>
          <cell r="G33" t="str">
            <v>2.6.C Shock/Impact</v>
          </cell>
          <cell r="H33">
            <v>5</v>
          </cell>
          <cell r="I33" t="str">
            <v>M-101,Drop Test (8)
M-102,Compression Test (6) 
M-103,Thermal Cycle w/Drop testing (6)</v>
          </cell>
          <cell r="J33">
            <v>6</v>
          </cell>
          <cell r="K33">
            <v>300</v>
          </cell>
          <cell r="L33" t="str">
            <v>Develop better Drop Test.
Strengthen Thread/Plunger Design</v>
          </cell>
          <cell r="M33" t="str">
            <v>Release Eng.. 
Oct 31, 94
Release Eng.. 
Nov. 15, 93</v>
          </cell>
          <cell r="O33" t="str">
            <v>Test M-101.1,
M-101.2
Redesigned Thread/Plunger Design</v>
          </cell>
          <cell r="P33">
            <v>10</v>
          </cell>
          <cell r="Q33">
            <v>1</v>
          </cell>
          <cell r="R33">
            <v>2</v>
          </cell>
          <cell r="S33">
            <v>20</v>
          </cell>
          <cell r="U33">
            <v>2.5</v>
          </cell>
          <cell r="V33">
            <v>6.6699999999999995E-4</v>
          </cell>
          <cell r="W33">
            <v>2.499333</v>
          </cell>
        </row>
        <row r="34">
          <cell r="A34">
            <v>30</v>
          </cell>
          <cell r="C34" t="str">
            <v>2.6 Does not unlock</v>
          </cell>
          <cell r="D34" t="str">
            <v>2.6.1 System inoperative (8)inoperative (8)
2.6.2 Customer breaks finger (10)</v>
          </cell>
          <cell r="E34">
            <v>10</v>
          </cell>
          <cell r="G34" t="str">
            <v>2.6.D Thermal deformation</v>
          </cell>
          <cell r="H34">
            <v>1</v>
          </cell>
          <cell r="I34" t="str">
            <v>M-104,Thermal Cycle Testing (3)
Engineering Analysis (2)</v>
          </cell>
          <cell r="J34">
            <v>2</v>
          </cell>
          <cell r="K34">
            <v>20</v>
          </cell>
          <cell r="L34" t="str">
            <v>None</v>
          </cell>
          <cell r="S34">
            <v>0</v>
          </cell>
          <cell r="U34">
            <v>6.6699999999999995E-4</v>
          </cell>
          <cell r="V34" t="str">
            <v xml:space="preserve"> - </v>
          </cell>
          <cell r="W34" t="str">
            <v/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ock Diagram"/>
      <sheetName val="Team"/>
      <sheetName val="Notes"/>
      <sheetName val="Block"/>
      <sheetName val="Code File Info"/>
      <sheetName val="I'Face Matrix"/>
      <sheetName val="DFMEA-DRBFM"/>
      <sheetName val="Research"/>
      <sheetName val="Definition of Change Point's"/>
      <sheetName val="Process Quality Guide"/>
      <sheetName val="Inputs"/>
      <sheetName val="Outputs"/>
      <sheetName val="Scales"/>
      <sheetName val="Internet Explorer"/>
      <sheetName val="Addendum"/>
      <sheetName val="TOC"/>
      <sheetName val="CribSheet"/>
      <sheetName val="Algorithm Cribsheet"/>
      <sheetName val="Doc Guidelines"/>
      <sheetName val="JudgmentWords"/>
      <sheetName val="VersionContro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>
        <row r="1">
          <cell r="H1" t="str">
            <v>Exhaust Manifold ASM</v>
          </cell>
          <cell r="T1" t="str">
            <v>2008 GMT966.111.13.01</v>
          </cell>
        </row>
        <row r="2">
          <cell r="H2">
            <v>2008</v>
          </cell>
        </row>
        <row r="3">
          <cell r="H3" t="str">
            <v>GMT 966</v>
          </cell>
        </row>
      </sheetData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ivic">
      <a:majorFont>
        <a:latin typeface="Georgia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Georgia"/>
        <a:ea typeface=""/>
        <a:cs typeface=""/>
        <a:font script="Jpan" typeface="ＭＳ Ｐ明朝"/>
        <a:font script="Hang" typeface="바탕"/>
        <a:font script="Hans" typeface="方正舒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ignOff">
    <tabColor rgb="FFFFC000"/>
  </sheetPr>
  <dimension ref="A1:E15"/>
  <sheetViews>
    <sheetView showGridLines="0" zoomScaleNormal="100" workbookViewId="0">
      <selection sqref="A1:B1"/>
    </sheetView>
  </sheetViews>
  <sheetFormatPr defaultColWidth="8.85546875" defaultRowHeight="12.75" outlineLevelRow="1"/>
  <cols>
    <col min="1" max="1" width="38.28515625" style="2" customWidth="1"/>
    <col min="2" max="2" width="49.140625" style="2" customWidth="1"/>
    <col min="3" max="255" width="8.85546875" style="2"/>
    <col min="256" max="256" width="29.85546875" style="2" customWidth="1"/>
    <col min="257" max="258" width="30.7109375" style="2" customWidth="1"/>
    <col min="259" max="511" width="8.85546875" style="2"/>
    <col min="512" max="512" width="29.85546875" style="2" customWidth="1"/>
    <col min="513" max="514" width="30.7109375" style="2" customWidth="1"/>
    <col min="515" max="767" width="8.85546875" style="2"/>
    <col min="768" max="768" width="29.85546875" style="2" customWidth="1"/>
    <col min="769" max="770" width="30.7109375" style="2" customWidth="1"/>
    <col min="771" max="1023" width="8.85546875" style="2"/>
    <col min="1024" max="1024" width="29.85546875" style="2" customWidth="1"/>
    <col min="1025" max="1026" width="30.7109375" style="2" customWidth="1"/>
    <col min="1027" max="1279" width="8.85546875" style="2"/>
    <col min="1280" max="1280" width="29.85546875" style="2" customWidth="1"/>
    <col min="1281" max="1282" width="30.7109375" style="2" customWidth="1"/>
    <col min="1283" max="1535" width="8.85546875" style="2"/>
    <col min="1536" max="1536" width="29.85546875" style="2" customWidth="1"/>
    <col min="1537" max="1538" width="30.7109375" style="2" customWidth="1"/>
    <col min="1539" max="1791" width="8.85546875" style="2"/>
    <col min="1792" max="1792" width="29.85546875" style="2" customWidth="1"/>
    <col min="1793" max="1794" width="30.7109375" style="2" customWidth="1"/>
    <col min="1795" max="2047" width="8.85546875" style="2"/>
    <col min="2048" max="2048" width="29.85546875" style="2" customWidth="1"/>
    <col min="2049" max="2050" width="30.7109375" style="2" customWidth="1"/>
    <col min="2051" max="2303" width="8.85546875" style="2"/>
    <col min="2304" max="2304" width="29.85546875" style="2" customWidth="1"/>
    <col min="2305" max="2306" width="30.7109375" style="2" customWidth="1"/>
    <col min="2307" max="2559" width="8.85546875" style="2"/>
    <col min="2560" max="2560" width="29.85546875" style="2" customWidth="1"/>
    <col min="2561" max="2562" width="30.7109375" style="2" customWidth="1"/>
    <col min="2563" max="2815" width="8.85546875" style="2"/>
    <col min="2816" max="2816" width="29.85546875" style="2" customWidth="1"/>
    <col min="2817" max="2818" width="30.7109375" style="2" customWidth="1"/>
    <col min="2819" max="3071" width="8.85546875" style="2"/>
    <col min="3072" max="3072" width="29.85546875" style="2" customWidth="1"/>
    <col min="3073" max="3074" width="30.7109375" style="2" customWidth="1"/>
    <col min="3075" max="3327" width="8.85546875" style="2"/>
    <col min="3328" max="3328" width="29.85546875" style="2" customWidth="1"/>
    <col min="3329" max="3330" width="30.7109375" style="2" customWidth="1"/>
    <col min="3331" max="3583" width="8.85546875" style="2"/>
    <col min="3584" max="3584" width="29.85546875" style="2" customWidth="1"/>
    <col min="3585" max="3586" width="30.7109375" style="2" customWidth="1"/>
    <col min="3587" max="3839" width="8.85546875" style="2"/>
    <col min="3840" max="3840" width="29.85546875" style="2" customWidth="1"/>
    <col min="3841" max="3842" width="30.7109375" style="2" customWidth="1"/>
    <col min="3843" max="4095" width="8.85546875" style="2"/>
    <col min="4096" max="4096" width="29.85546875" style="2" customWidth="1"/>
    <col min="4097" max="4098" width="30.7109375" style="2" customWidth="1"/>
    <col min="4099" max="4351" width="8.85546875" style="2"/>
    <col min="4352" max="4352" width="29.85546875" style="2" customWidth="1"/>
    <col min="4353" max="4354" width="30.7109375" style="2" customWidth="1"/>
    <col min="4355" max="4607" width="8.85546875" style="2"/>
    <col min="4608" max="4608" width="29.85546875" style="2" customWidth="1"/>
    <col min="4609" max="4610" width="30.7109375" style="2" customWidth="1"/>
    <col min="4611" max="4863" width="8.85546875" style="2"/>
    <col min="4864" max="4864" width="29.85546875" style="2" customWidth="1"/>
    <col min="4865" max="4866" width="30.7109375" style="2" customWidth="1"/>
    <col min="4867" max="5119" width="8.85546875" style="2"/>
    <col min="5120" max="5120" width="29.85546875" style="2" customWidth="1"/>
    <col min="5121" max="5122" width="30.7109375" style="2" customWidth="1"/>
    <col min="5123" max="5375" width="8.85546875" style="2"/>
    <col min="5376" max="5376" width="29.85546875" style="2" customWidth="1"/>
    <col min="5377" max="5378" width="30.7109375" style="2" customWidth="1"/>
    <col min="5379" max="5631" width="8.85546875" style="2"/>
    <col min="5632" max="5632" width="29.85546875" style="2" customWidth="1"/>
    <col min="5633" max="5634" width="30.7109375" style="2" customWidth="1"/>
    <col min="5635" max="5887" width="8.85546875" style="2"/>
    <col min="5888" max="5888" width="29.85546875" style="2" customWidth="1"/>
    <col min="5889" max="5890" width="30.7109375" style="2" customWidth="1"/>
    <col min="5891" max="6143" width="8.85546875" style="2"/>
    <col min="6144" max="6144" width="29.85546875" style="2" customWidth="1"/>
    <col min="6145" max="6146" width="30.7109375" style="2" customWidth="1"/>
    <col min="6147" max="6399" width="8.85546875" style="2"/>
    <col min="6400" max="6400" width="29.85546875" style="2" customWidth="1"/>
    <col min="6401" max="6402" width="30.7109375" style="2" customWidth="1"/>
    <col min="6403" max="6655" width="8.85546875" style="2"/>
    <col min="6656" max="6656" width="29.85546875" style="2" customWidth="1"/>
    <col min="6657" max="6658" width="30.7109375" style="2" customWidth="1"/>
    <col min="6659" max="6911" width="8.85546875" style="2"/>
    <col min="6912" max="6912" width="29.85546875" style="2" customWidth="1"/>
    <col min="6913" max="6914" width="30.7109375" style="2" customWidth="1"/>
    <col min="6915" max="7167" width="8.85546875" style="2"/>
    <col min="7168" max="7168" width="29.85546875" style="2" customWidth="1"/>
    <col min="7169" max="7170" width="30.7109375" style="2" customWidth="1"/>
    <col min="7171" max="7423" width="8.85546875" style="2"/>
    <col min="7424" max="7424" width="29.85546875" style="2" customWidth="1"/>
    <col min="7425" max="7426" width="30.7109375" style="2" customWidth="1"/>
    <col min="7427" max="7679" width="8.85546875" style="2"/>
    <col min="7680" max="7680" width="29.85546875" style="2" customWidth="1"/>
    <col min="7681" max="7682" width="30.7109375" style="2" customWidth="1"/>
    <col min="7683" max="7935" width="8.85546875" style="2"/>
    <col min="7936" max="7936" width="29.85546875" style="2" customWidth="1"/>
    <col min="7937" max="7938" width="30.7109375" style="2" customWidth="1"/>
    <col min="7939" max="8191" width="8.85546875" style="2"/>
    <col min="8192" max="8192" width="29.85546875" style="2" customWidth="1"/>
    <col min="8193" max="8194" width="30.7109375" style="2" customWidth="1"/>
    <col min="8195" max="8447" width="8.85546875" style="2"/>
    <col min="8448" max="8448" width="29.85546875" style="2" customWidth="1"/>
    <col min="8449" max="8450" width="30.7109375" style="2" customWidth="1"/>
    <col min="8451" max="8703" width="8.85546875" style="2"/>
    <col min="8704" max="8704" width="29.85546875" style="2" customWidth="1"/>
    <col min="8705" max="8706" width="30.7109375" style="2" customWidth="1"/>
    <col min="8707" max="8959" width="8.85546875" style="2"/>
    <col min="8960" max="8960" width="29.85546875" style="2" customWidth="1"/>
    <col min="8961" max="8962" width="30.7109375" style="2" customWidth="1"/>
    <col min="8963" max="9215" width="8.85546875" style="2"/>
    <col min="9216" max="9216" width="29.85546875" style="2" customWidth="1"/>
    <col min="9217" max="9218" width="30.7109375" style="2" customWidth="1"/>
    <col min="9219" max="9471" width="8.85546875" style="2"/>
    <col min="9472" max="9472" width="29.85546875" style="2" customWidth="1"/>
    <col min="9473" max="9474" width="30.7109375" style="2" customWidth="1"/>
    <col min="9475" max="9727" width="8.85546875" style="2"/>
    <col min="9728" max="9728" width="29.85546875" style="2" customWidth="1"/>
    <col min="9729" max="9730" width="30.7109375" style="2" customWidth="1"/>
    <col min="9731" max="9983" width="8.85546875" style="2"/>
    <col min="9984" max="9984" width="29.85546875" style="2" customWidth="1"/>
    <col min="9985" max="9986" width="30.7109375" style="2" customWidth="1"/>
    <col min="9987" max="10239" width="8.85546875" style="2"/>
    <col min="10240" max="10240" width="29.85546875" style="2" customWidth="1"/>
    <col min="10241" max="10242" width="30.7109375" style="2" customWidth="1"/>
    <col min="10243" max="10495" width="8.85546875" style="2"/>
    <col min="10496" max="10496" width="29.85546875" style="2" customWidth="1"/>
    <col min="10497" max="10498" width="30.7109375" style="2" customWidth="1"/>
    <col min="10499" max="10751" width="8.85546875" style="2"/>
    <col min="10752" max="10752" width="29.85546875" style="2" customWidth="1"/>
    <col min="10753" max="10754" width="30.7109375" style="2" customWidth="1"/>
    <col min="10755" max="11007" width="8.85546875" style="2"/>
    <col min="11008" max="11008" width="29.85546875" style="2" customWidth="1"/>
    <col min="11009" max="11010" width="30.7109375" style="2" customWidth="1"/>
    <col min="11011" max="11263" width="8.85546875" style="2"/>
    <col min="11264" max="11264" width="29.85546875" style="2" customWidth="1"/>
    <col min="11265" max="11266" width="30.7109375" style="2" customWidth="1"/>
    <col min="11267" max="11519" width="8.85546875" style="2"/>
    <col min="11520" max="11520" width="29.85546875" style="2" customWidth="1"/>
    <col min="11521" max="11522" width="30.7109375" style="2" customWidth="1"/>
    <col min="11523" max="11775" width="8.85546875" style="2"/>
    <col min="11776" max="11776" width="29.85546875" style="2" customWidth="1"/>
    <col min="11777" max="11778" width="30.7109375" style="2" customWidth="1"/>
    <col min="11779" max="12031" width="8.85546875" style="2"/>
    <col min="12032" max="12032" width="29.85546875" style="2" customWidth="1"/>
    <col min="12033" max="12034" width="30.7109375" style="2" customWidth="1"/>
    <col min="12035" max="12287" width="8.85546875" style="2"/>
    <col min="12288" max="12288" width="29.85546875" style="2" customWidth="1"/>
    <col min="12289" max="12290" width="30.7109375" style="2" customWidth="1"/>
    <col min="12291" max="12543" width="8.85546875" style="2"/>
    <col min="12544" max="12544" width="29.85546875" style="2" customWidth="1"/>
    <col min="12545" max="12546" width="30.7109375" style="2" customWidth="1"/>
    <col min="12547" max="12799" width="8.85546875" style="2"/>
    <col min="12800" max="12800" width="29.85546875" style="2" customWidth="1"/>
    <col min="12801" max="12802" width="30.7109375" style="2" customWidth="1"/>
    <col min="12803" max="13055" width="8.85546875" style="2"/>
    <col min="13056" max="13056" width="29.85546875" style="2" customWidth="1"/>
    <col min="13057" max="13058" width="30.7109375" style="2" customWidth="1"/>
    <col min="13059" max="13311" width="8.85546875" style="2"/>
    <col min="13312" max="13312" width="29.85546875" style="2" customWidth="1"/>
    <col min="13313" max="13314" width="30.7109375" style="2" customWidth="1"/>
    <col min="13315" max="13567" width="8.85546875" style="2"/>
    <col min="13568" max="13568" width="29.85546875" style="2" customWidth="1"/>
    <col min="13569" max="13570" width="30.7109375" style="2" customWidth="1"/>
    <col min="13571" max="13823" width="8.85546875" style="2"/>
    <col min="13824" max="13824" width="29.85546875" style="2" customWidth="1"/>
    <col min="13825" max="13826" width="30.7109375" style="2" customWidth="1"/>
    <col min="13827" max="14079" width="8.85546875" style="2"/>
    <col min="14080" max="14080" width="29.85546875" style="2" customWidth="1"/>
    <col min="14081" max="14082" width="30.7109375" style="2" customWidth="1"/>
    <col min="14083" max="14335" width="8.85546875" style="2"/>
    <col min="14336" max="14336" width="29.85546875" style="2" customWidth="1"/>
    <col min="14337" max="14338" width="30.7109375" style="2" customWidth="1"/>
    <col min="14339" max="14591" width="8.85546875" style="2"/>
    <col min="14592" max="14592" width="29.85546875" style="2" customWidth="1"/>
    <col min="14593" max="14594" width="30.7109375" style="2" customWidth="1"/>
    <col min="14595" max="14847" width="8.85546875" style="2"/>
    <col min="14848" max="14848" width="29.85546875" style="2" customWidth="1"/>
    <col min="14849" max="14850" width="30.7109375" style="2" customWidth="1"/>
    <col min="14851" max="15103" width="8.85546875" style="2"/>
    <col min="15104" max="15104" width="29.85546875" style="2" customWidth="1"/>
    <col min="15105" max="15106" width="30.7109375" style="2" customWidth="1"/>
    <col min="15107" max="15359" width="8.85546875" style="2"/>
    <col min="15360" max="15360" width="29.85546875" style="2" customWidth="1"/>
    <col min="15361" max="15362" width="30.7109375" style="2" customWidth="1"/>
    <col min="15363" max="15615" width="8.85546875" style="2"/>
    <col min="15616" max="15616" width="29.85546875" style="2" customWidth="1"/>
    <col min="15617" max="15618" width="30.7109375" style="2" customWidth="1"/>
    <col min="15619" max="15871" width="8.85546875" style="2"/>
    <col min="15872" max="15872" width="29.85546875" style="2" customWidth="1"/>
    <col min="15873" max="15874" width="30.7109375" style="2" customWidth="1"/>
    <col min="15875" max="16127" width="8.85546875" style="2"/>
    <col min="16128" max="16128" width="29.85546875" style="2" customWidth="1"/>
    <col min="16129" max="16130" width="30.7109375" style="2" customWidth="1"/>
    <col min="16131" max="16384" width="8.85546875" style="2"/>
  </cols>
  <sheetData>
    <row r="1" spans="1:5" s="18" customFormat="1" ht="44.1" customHeight="1" thickBot="1">
      <c r="A1" s="102" t="s">
        <v>14</v>
      </c>
      <c r="B1" s="103"/>
    </row>
    <row r="2" spans="1:5" s="36" customFormat="1" ht="99" customHeight="1" outlineLevel="1">
      <c r="A2" s="100" t="s">
        <v>15</v>
      </c>
      <c r="B2" s="101"/>
    </row>
    <row r="3" spans="1:5" s="36" customFormat="1" ht="14.25" customHeight="1" outlineLevel="1">
      <c r="A3" s="37"/>
      <c r="B3" s="38"/>
    </row>
    <row r="4" spans="1:5" s="36" customFormat="1" ht="14.25" customHeight="1" outlineLevel="1" thickBot="1">
      <c r="A4" s="37"/>
      <c r="B4" s="38"/>
    </row>
    <row r="5" spans="1:5" ht="21.75" customHeight="1" thickBot="1">
      <c r="A5" s="39" t="s">
        <v>12</v>
      </c>
      <c r="B5" s="28" t="e">
        <f>IF(md_fmea_registration_no = "","",md_fmea_registration_no)</f>
        <v>#REF!</v>
      </c>
    </row>
    <row r="6" spans="1:5" ht="21.75" customHeight="1" thickBot="1">
      <c r="A6" s="39" t="s">
        <v>11</v>
      </c>
      <c r="B6" s="29" t="e">
        <f>IF(md_fmea_issue=""," ",md_fmea_issue)</f>
        <v>#REF!</v>
      </c>
    </row>
    <row r="7" spans="1:5" s="19" customFormat="1" ht="21.75" customHeight="1" thickBot="1">
      <c r="A7" s="30"/>
      <c r="B7" s="1"/>
    </row>
    <row r="8" spans="1:5" ht="24" customHeight="1" thickBot="1">
      <c r="A8" s="31" t="s">
        <v>7</v>
      </c>
      <c r="B8" s="32" t="s">
        <v>10</v>
      </c>
    </row>
    <row r="9" spans="1:5" ht="60" customHeight="1">
      <c r="A9" s="20"/>
      <c r="B9" s="21"/>
    </row>
    <row r="10" spans="1:5" ht="19.899999999999999" customHeight="1" thickBot="1">
      <c r="A10" s="33" t="s">
        <v>6</v>
      </c>
      <c r="B10" s="34" t="s">
        <v>3</v>
      </c>
    </row>
    <row r="11" spans="1:5" ht="60" customHeight="1">
      <c r="A11" s="22"/>
      <c r="B11" s="21"/>
      <c r="C11" s="23"/>
    </row>
    <row r="12" spans="1:5" ht="19.899999999999999" customHeight="1" thickBot="1">
      <c r="A12" s="33" t="s">
        <v>5</v>
      </c>
      <c r="B12" s="34" t="s">
        <v>9</v>
      </c>
    </row>
    <row r="13" spans="1:5" ht="60" customHeight="1">
      <c r="A13" s="22"/>
      <c r="B13" s="21"/>
      <c r="E13" s="24"/>
    </row>
    <row r="14" spans="1:5" ht="19.899999999999999" customHeight="1">
      <c r="A14" s="25"/>
      <c r="B14" s="35" t="s">
        <v>8</v>
      </c>
    </row>
    <row r="15" spans="1:5" ht="19.899999999999999" customHeight="1" thickBot="1">
      <c r="A15" s="26"/>
      <c r="B15" s="27" t="s">
        <v>4</v>
      </c>
    </row>
  </sheetData>
  <mergeCells count="2">
    <mergeCell ref="A2:B2"/>
    <mergeCell ref="A1:B1"/>
  </mergeCells>
  <phoneticPr fontId="37" type="noConversion"/>
  <pageMargins left="0.70866141732283461" right="0.70866141732283461" top="1.3385826771653544" bottom="1.3385826771653544" header="0.70866141732283461" footer="0.70866141732283461"/>
  <pageSetup paperSize="9" orientation="portrait" r:id="rId1"/>
  <headerFooter>
    <oddHeader>&amp;LResponsible Engineer:_x000D_
&amp;C_x000D_
 Issue:   &amp;RInfo Class I</oddHeader>
    <oddFooter>&amp;LCP-10-002a Issue 1, Issued by: M Gustafsson 2010-09-02_x000D_
HARDCOPY OF THIS DOCUMENT IS AN UNCONTROLLED COPY&amp;RPage &amp;P(&amp;N)_x000D_
Printed Date: 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N52"/>
  <sheetViews>
    <sheetView tabSelected="1" topLeftCell="B8" zoomScaleNormal="100" workbookViewId="0">
      <pane xSplit="6" ySplit="15" topLeftCell="H23" activePane="bottomRight" state="frozen"/>
      <selection activeCell="B8" sqref="B8"/>
      <selection pane="topRight" activeCell="G8" sqref="G8"/>
      <selection pane="bottomLeft" activeCell="B22" sqref="B22"/>
      <selection pane="bottomRight" activeCell="H24" sqref="H24"/>
    </sheetView>
  </sheetViews>
  <sheetFormatPr defaultRowHeight="12.75"/>
  <cols>
    <col min="1" max="2" width="1.140625" customWidth="1"/>
    <col min="3" max="3" width="3.7109375" customWidth="1"/>
    <col min="4" max="4" width="12" customWidth="1"/>
    <col min="5" max="5" width="22.28515625" customWidth="1"/>
    <col min="6" max="6" width="29" customWidth="1"/>
    <col min="7" max="7" width="10.7109375" customWidth="1"/>
    <col min="8" max="8" width="37.28515625" customWidth="1"/>
    <col min="9" max="9" width="15.42578125" customWidth="1"/>
    <col min="10" max="11" width="26.28515625" customWidth="1"/>
    <col min="12" max="12" width="17.140625" customWidth="1"/>
  </cols>
  <sheetData>
    <row r="1" spans="1:14" ht="11.25" customHeight="1">
      <c r="A1" s="57"/>
      <c r="B1" s="57"/>
      <c r="C1" s="58"/>
      <c r="D1" s="58"/>
      <c r="E1" s="58"/>
      <c r="F1" s="58"/>
      <c r="G1" s="58"/>
      <c r="H1" s="58"/>
      <c r="I1" s="59"/>
      <c r="J1" s="59"/>
      <c r="K1" s="59"/>
      <c r="L1" s="59"/>
      <c r="M1" s="57"/>
      <c r="N1" s="57"/>
    </row>
    <row r="2" spans="1:14" ht="15" customHeight="1">
      <c r="A2" s="57"/>
      <c r="B2" s="57"/>
      <c r="C2" s="58"/>
      <c r="D2" s="58"/>
      <c r="E2" s="58"/>
      <c r="F2" s="58"/>
      <c r="G2" s="58"/>
      <c r="H2" s="60"/>
      <c r="I2" s="61" t="s">
        <v>40</v>
      </c>
      <c r="J2" s="58"/>
      <c r="K2" s="58"/>
      <c r="L2" s="58"/>
      <c r="M2" s="57"/>
      <c r="N2" s="57"/>
    </row>
    <row r="3" spans="1:14" ht="11.25" customHeight="1">
      <c r="A3" s="57"/>
      <c r="B3" s="57"/>
      <c r="C3" s="58"/>
      <c r="D3" s="58"/>
      <c r="E3" s="58"/>
      <c r="F3" s="58"/>
      <c r="G3" s="58"/>
      <c r="H3" s="62"/>
      <c r="I3" s="63">
        <v>1</v>
      </c>
      <c r="J3" s="64"/>
      <c r="K3" s="64"/>
      <c r="L3" s="64"/>
      <c r="M3" s="57"/>
      <c r="N3" s="57"/>
    </row>
    <row r="4" spans="1:14" s="47" customFormat="1" ht="15" customHeight="1">
      <c r="A4" s="65"/>
      <c r="B4" s="65"/>
      <c r="C4" s="58"/>
      <c r="D4" s="58"/>
      <c r="E4" s="58"/>
      <c r="F4" s="58"/>
      <c r="G4" s="58"/>
      <c r="H4" s="62"/>
      <c r="I4" s="61" t="s">
        <v>41</v>
      </c>
      <c r="J4" s="58"/>
      <c r="K4" s="58"/>
      <c r="L4" s="58"/>
      <c r="M4" s="65"/>
      <c r="N4" s="65"/>
    </row>
    <row r="5" spans="1:14" s="47" customFormat="1" ht="12" customHeight="1">
      <c r="A5" s="65"/>
      <c r="B5" s="65"/>
      <c r="C5" s="58"/>
      <c r="D5" s="58"/>
      <c r="E5" s="58"/>
      <c r="F5" s="58"/>
      <c r="G5" s="58"/>
      <c r="H5" s="62"/>
      <c r="I5" s="66">
        <v>1</v>
      </c>
      <c r="J5" s="64"/>
      <c r="K5" s="64"/>
      <c r="L5" s="64"/>
      <c r="M5" s="65"/>
      <c r="N5" s="65"/>
    </row>
    <row r="6" spans="1:14" ht="11.25" customHeight="1">
      <c r="A6" s="57"/>
      <c r="B6" s="57"/>
      <c r="C6" s="58"/>
      <c r="D6" s="58"/>
      <c r="E6" s="58"/>
      <c r="F6" s="58"/>
      <c r="G6" s="58"/>
      <c r="H6" s="62"/>
      <c r="I6" s="61" t="s">
        <v>42</v>
      </c>
      <c r="J6" s="58"/>
      <c r="K6" s="58"/>
      <c r="L6" s="58"/>
      <c r="M6" s="57"/>
      <c r="N6" s="57"/>
    </row>
    <row r="7" spans="1:14">
      <c r="A7" s="57"/>
      <c r="B7" s="57"/>
      <c r="C7" s="58"/>
      <c r="D7" s="58"/>
      <c r="E7" s="58"/>
      <c r="F7" s="58"/>
      <c r="G7" s="58"/>
      <c r="H7" s="58"/>
      <c r="I7" s="67" t="s">
        <v>56</v>
      </c>
      <c r="J7" s="64"/>
      <c r="K7" s="64"/>
      <c r="L7" s="64"/>
      <c r="M7" s="57"/>
      <c r="N7" s="57"/>
    </row>
    <row r="8" spans="1:14">
      <c r="A8" s="57"/>
      <c r="B8" s="57"/>
      <c r="C8" s="113" t="s">
        <v>43</v>
      </c>
      <c r="D8" s="113"/>
      <c r="E8" s="68"/>
      <c r="F8" s="68"/>
      <c r="G8" s="68"/>
      <c r="H8" s="57"/>
      <c r="I8" s="69" t="s">
        <v>44</v>
      </c>
      <c r="J8" s="69" t="s">
        <v>65</v>
      </c>
      <c r="K8" s="69"/>
      <c r="L8" s="69"/>
      <c r="M8" s="57"/>
      <c r="N8" s="57"/>
    </row>
    <row r="9" spans="1:14" ht="15.75">
      <c r="A9" s="57"/>
      <c r="B9" s="57"/>
      <c r="C9" s="115" t="s">
        <v>58</v>
      </c>
      <c r="D9" s="115"/>
      <c r="E9" s="115"/>
      <c r="F9" s="115"/>
      <c r="G9" s="64"/>
      <c r="H9" s="64"/>
      <c r="I9" s="70"/>
      <c r="J9" s="81"/>
      <c r="K9" s="71"/>
      <c r="L9" s="71"/>
      <c r="M9" s="57"/>
      <c r="N9" s="57"/>
    </row>
    <row r="10" spans="1:14">
      <c r="A10" s="57"/>
      <c r="B10" s="57"/>
      <c r="C10" s="113" t="s">
        <v>45</v>
      </c>
      <c r="D10" s="113"/>
      <c r="E10" s="68"/>
      <c r="F10" s="68"/>
      <c r="G10" s="68"/>
      <c r="H10" s="57"/>
      <c r="I10" s="69" t="s">
        <v>46</v>
      </c>
      <c r="J10" s="69" t="s">
        <v>47</v>
      </c>
      <c r="K10" s="69"/>
      <c r="L10" s="69"/>
      <c r="M10" s="57"/>
      <c r="N10" s="57"/>
    </row>
    <row r="11" spans="1:14">
      <c r="A11" s="57"/>
      <c r="B11" s="57"/>
      <c r="C11" s="114"/>
      <c r="D11" s="114"/>
      <c r="E11" s="114"/>
      <c r="F11" s="114"/>
      <c r="G11" s="68"/>
      <c r="H11" s="57"/>
      <c r="I11" s="72"/>
      <c r="J11" s="73"/>
      <c r="K11" s="73"/>
      <c r="L11" s="73"/>
      <c r="M11" s="57"/>
      <c r="N11" s="57"/>
    </row>
    <row r="12" spans="1:14">
      <c r="A12" s="57"/>
      <c r="B12" s="57"/>
      <c r="C12" s="113" t="s">
        <v>48</v>
      </c>
      <c r="D12" s="113"/>
      <c r="E12" s="68"/>
      <c r="F12" s="68"/>
      <c r="G12" s="68"/>
      <c r="H12" s="57"/>
      <c r="I12" s="69" t="s">
        <v>46</v>
      </c>
      <c r="J12" s="69" t="s">
        <v>47</v>
      </c>
      <c r="K12" s="69"/>
      <c r="L12" s="69"/>
      <c r="M12" s="57"/>
      <c r="N12" s="57"/>
    </row>
    <row r="13" spans="1:14">
      <c r="A13" s="57"/>
      <c r="B13" s="57"/>
      <c r="C13" s="114"/>
      <c r="D13" s="114"/>
      <c r="E13" s="114"/>
      <c r="F13" s="114"/>
      <c r="G13" s="74"/>
      <c r="H13" s="57"/>
      <c r="I13" s="67"/>
      <c r="J13" s="73"/>
      <c r="K13" s="73"/>
      <c r="L13" s="73"/>
      <c r="M13" s="57"/>
      <c r="N13" s="57"/>
    </row>
    <row r="14" spans="1:14">
      <c r="A14" s="57"/>
      <c r="B14" s="57"/>
      <c r="C14" s="75"/>
      <c r="D14" s="75"/>
      <c r="E14" s="74"/>
      <c r="F14" s="74"/>
      <c r="G14" s="74"/>
      <c r="H14" s="57"/>
      <c r="I14" s="57"/>
      <c r="J14" s="57"/>
      <c r="K14" s="57"/>
      <c r="L14" s="57"/>
      <c r="M14" s="57"/>
      <c r="N14" s="57"/>
    </row>
    <row r="15" spans="1:14">
      <c r="A15" s="57"/>
      <c r="B15" s="57"/>
      <c r="C15" s="112" t="s">
        <v>49</v>
      </c>
      <c r="D15" s="112"/>
      <c r="E15" s="112"/>
      <c r="F15" s="105"/>
      <c r="G15" s="105"/>
      <c r="H15" s="76" t="s">
        <v>67</v>
      </c>
      <c r="I15" s="104"/>
      <c r="J15" s="105"/>
      <c r="K15" s="105"/>
      <c r="L15" s="105"/>
      <c r="M15" s="105"/>
      <c r="N15" s="57"/>
    </row>
    <row r="16" spans="1:14">
      <c r="A16" s="57"/>
      <c r="B16" s="57"/>
      <c r="C16" s="109"/>
      <c r="D16" s="110"/>
      <c r="E16" s="110"/>
      <c r="F16" s="110"/>
      <c r="G16" s="111"/>
      <c r="H16" s="76" t="s">
        <v>66</v>
      </c>
      <c r="I16" s="106"/>
      <c r="J16" s="107"/>
      <c r="K16" s="107"/>
      <c r="L16" s="107"/>
      <c r="M16" s="108"/>
      <c r="N16" s="57"/>
    </row>
    <row r="17" spans="1:14">
      <c r="A17" s="57"/>
      <c r="B17" s="57"/>
      <c r="C17" s="112" t="s">
        <v>51</v>
      </c>
      <c r="D17" s="112"/>
      <c r="E17" s="112"/>
      <c r="F17" s="105"/>
      <c r="G17" s="105"/>
      <c r="H17" s="76" t="s">
        <v>52</v>
      </c>
      <c r="I17" s="105"/>
      <c r="J17" s="105"/>
      <c r="K17" s="105"/>
      <c r="L17" s="105"/>
      <c r="M17" s="105"/>
      <c r="N17" s="57"/>
    </row>
    <row r="18" spans="1:14">
      <c r="A18" s="57"/>
      <c r="B18" s="57"/>
      <c r="C18" s="112" t="s">
        <v>53</v>
      </c>
      <c r="D18" s="112"/>
      <c r="E18" s="112"/>
      <c r="F18" s="105"/>
      <c r="G18" s="105"/>
      <c r="H18" s="76" t="s">
        <v>54</v>
      </c>
      <c r="I18" s="105"/>
      <c r="J18" s="105"/>
      <c r="K18" s="105"/>
      <c r="L18" s="105"/>
      <c r="M18" s="105"/>
      <c r="N18" s="57"/>
    </row>
    <row r="19" spans="1:14">
      <c r="A19" s="57"/>
      <c r="B19" s="57"/>
      <c r="C19" s="120" t="s">
        <v>55</v>
      </c>
      <c r="D19" s="120"/>
      <c r="E19" s="120"/>
      <c r="F19" s="125"/>
      <c r="G19" s="125"/>
      <c r="H19" s="125"/>
      <c r="I19" s="125"/>
      <c r="J19" s="125"/>
      <c r="K19" s="125"/>
      <c r="L19" s="125"/>
      <c r="M19" s="125"/>
      <c r="N19" s="57"/>
    </row>
    <row r="20" spans="1:14">
      <c r="A20" s="57"/>
      <c r="B20" s="57"/>
      <c r="C20" s="120"/>
      <c r="D20" s="120"/>
      <c r="E20" s="120"/>
      <c r="F20" s="125"/>
      <c r="G20" s="125"/>
      <c r="H20" s="125"/>
      <c r="I20" s="125"/>
      <c r="J20" s="125"/>
      <c r="K20" s="125"/>
      <c r="L20" s="125"/>
      <c r="M20" s="125"/>
      <c r="N20" s="57"/>
    </row>
    <row r="21" spans="1:14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1:14" s="49" customFormat="1" ht="28.5" customHeight="1">
      <c r="A22" s="77"/>
      <c r="B22" s="77"/>
      <c r="C22" s="50" t="s">
        <v>57</v>
      </c>
      <c r="D22" s="51" t="s">
        <v>33</v>
      </c>
      <c r="E22" s="51" t="s">
        <v>34</v>
      </c>
      <c r="F22" s="51" t="s">
        <v>35</v>
      </c>
      <c r="G22" s="51" t="s">
        <v>36</v>
      </c>
      <c r="H22" s="51" t="s">
        <v>37</v>
      </c>
      <c r="I22" s="51" t="s">
        <v>32</v>
      </c>
      <c r="J22" s="119" t="s">
        <v>38</v>
      </c>
      <c r="K22" s="119"/>
      <c r="L22" s="80" t="s">
        <v>60</v>
      </c>
      <c r="M22" s="51" t="s">
        <v>39</v>
      </c>
      <c r="N22" s="77"/>
    </row>
    <row r="23" spans="1:14" s="48" customFormat="1" ht="12" customHeight="1">
      <c r="A23" s="78"/>
      <c r="B23" s="78"/>
      <c r="C23" s="52">
        <v>1</v>
      </c>
      <c r="D23" s="52"/>
      <c r="E23" s="52"/>
      <c r="F23" s="89"/>
      <c r="G23" s="87"/>
      <c r="H23" s="89"/>
      <c r="I23" s="90"/>
      <c r="J23" s="121"/>
      <c r="K23" s="121"/>
      <c r="L23" s="91"/>
      <c r="M23" s="88"/>
      <c r="N23" s="78"/>
    </row>
    <row r="24" spans="1:14" s="48" customFormat="1" ht="12" customHeight="1">
      <c r="A24" s="78"/>
      <c r="B24" s="78"/>
      <c r="C24" s="52">
        <v>2</v>
      </c>
      <c r="D24" s="52"/>
      <c r="E24" s="52"/>
      <c r="F24" s="89"/>
      <c r="G24" s="87"/>
      <c r="H24" s="89"/>
      <c r="I24" s="90"/>
      <c r="J24" s="124"/>
      <c r="K24" s="124"/>
      <c r="L24" s="91"/>
      <c r="M24" s="88"/>
      <c r="N24" s="78"/>
    </row>
    <row r="25" spans="1:14" s="48" customFormat="1" ht="12" customHeight="1">
      <c r="A25" s="78"/>
      <c r="B25" s="78"/>
      <c r="C25" s="52">
        <v>3</v>
      </c>
      <c r="D25" s="54"/>
      <c r="E25" s="54"/>
      <c r="F25" s="89"/>
      <c r="G25" s="87"/>
      <c r="H25" s="89"/>
      <c r="I25" s="88"/>
      <c r="J25" s="116"/>
      <c r="K25" s="116"/>
      <c r="L25" s="91"/>
      <c r="M25" s="88"/>
      <c r="N25" s="78"/>
    </row>
    <row r="26" spans="1:14" s="48" customFormat="1" ht="12" customHeight="1">
      <c r="A26" s="78"/>
      <c r="B26" s="78"/>
      <c r="C26" s="52">
        <v>4</v>
      </c>
      <c r="D26" s="54"/>
      <c r="E26" s="54"/>
      <c r="F26" s="92"/>
      <c r="G26" s="87"/>
      <c r="H26" s="92"/>
      <c r="I26" s="88"/>
      <c r="J26" s="116"/>
      <c r="K26" s="116"/>
      <c r="L26" s="93"/>
      <c r="M26" s="88"/>
      <c r="N26" s="78"/>
    </row>
    <row r="27" spans="1:14" s="48" customFormat="1" ht="12" customHeight="1">
      <c r="A27" s="78"/>
      <c r="B27" s="78"/>
      <c r="C27" s="52">
        <v>5</v>
      </c>
      <c r="D27" s="54"/>
      <c r="E27" s="79"/>
      <c r="F27" s="92"/>
      <c r="G27" s="87"/>
      <c r="H27" s="92"/>
      <c r="I27" s="88"/>
      <c r="J27" s="122"/>
      <c r="K27" s="123"/>
      <c r="L27" s="94"/>
      <c r="M27" s="88"/>
      <c r="N27" s="78"/>
    </row>
    <row r="28" spans="1:14" s="48" customFormat="1" ht="12" customHeight="1">
      <c r="A28" s="78"/>
      <c r="B28" s="78"/>
      <c r="C28" s="52">
        <v>6</v>
      </c>
      <c r="D28" s="54"/>
      <c r="E28" s="54"/>
      <c r="F28" s="92"/>
      <c r="G28" s="87"/>
      <c r="H28" s="92"/>
      <c r="I28" s="88"/>
      <c r="J28" s="116"/>
      <c r="K28" s="116"/>
      <c r="L28" s="93"/>
      <c r="M28" s="88"/>
      <c r="N28" s="78"/>
    </row>
    <row r="29" spans="1:14" s="48" customFormat="1" ht="12" customHeight="1">
      <c r="A29" s="78"/>
      <c r="B29" s="78"/>
      <c r="C29" s="52">
        <v>7</v>
      </c>
      <c r="D29" s="54"/>
      <c r="E29" s="54"/>
      <c r="F29" s="88"/>
      <c r="G29" s="87"/>
      <c r="H29" s="92"/>
      <c r="I29" s="88"/>
      <c r="J29" s="116"/>
      <c r="K29" s="116"/>
      <c r="L29" s="93"/>
      <c r="M29" s="88"/>
      <c r="N29" s="78"/>
    </row>
    <row r="30" spans="1:14" s="48" customFormat="1" ht="12" customHeight="1">
      <c r="A30" s="78"/>
      <c r="B30" s="78"/>
      <c r="C30" s="52">
        <v>8</v>
      </c>
      <c r="D30" s="54"/>
      <c r="E30" s="54"/>
      <c r="F30" s="88"/>
      <c r="G30" s="87"/>
      <c r="H30" s="92"/>
      <c r="I30" s="88"/>
      <c r="J30" s="116"/>
      <c r="K30" s="116"/>
      <c r="L30" s="91"/>
      <c r="M30" s="88"/>
      <c r="N30" s="78"/>
    </row>
    <row r="31" spans="1:14" s="48" customFormat="1" ht="12" customHeight="1">
      <c r="A31" s="78"/>
      <c r="B31" s="78"/>
      <c r="C31" s="52">
        <v>9</v>
      </c>
      <c r="D31" s="54"/>
      <c r="E31" s="54"/>
      <c r="F31" s="92"/>
      <c r="G31" s="87"/>
      <c r="H31" s="92"/>
      <c r="I31" s="92"/>
      <c r="J31" s="116"/>
      <c r="K31" s="116"/>
      <c r="L31" s="93"/>
      <c r="M31" s="88"/>
      <c r="N31" s="78"/>
    </row>
    <row r="32" spans="1:14" s="48" customFormat="1" ht="12" customHeight="1">
      <c r="A32" s="78"/>
      <c r="B32" s="78"/>
      <c r="C32" s="52">
        <v>10</v>
      </c>
      <c r="D32" s="54"/>
      <c r="E32" s="54"/>
      <c r="F32" s="92"/>
      <c r="G32" s="87"/>
      <c r="H32" s="88"/>
      <c r="I32" s="88"/>
      <c r="J32" s="116"/>
      <c r="K32" s="116"/>
      <c r="L32" s="91"/>
      <c r="M32" s="88"/>
      <c r="N32" s="78"/>
    </row>
    <row r="33" spans="1:14" s="48" customFormat="1" ht="12" customHeight="1">
      <c r="A33" s="78"/>
      <c r="B33" s="78"/>
      <c r="C33" s="52">
        <v>11</v>
      </c>
      <c r="D33" s="54"/>
      <c r="E33" s="54"/>
      <c r="F33" s="89"/>
      <c r="G33" s="87"/>
      <c r="H33" s="92"/>
      <c r="I33" s="92"/>
      <c r="J33" s="116"/>
      <c r="K33" s="116"/>
      <c r="L33" s="91"/>
      <c r="M33" s="88"/>
      <c r="N33" s="78"/>
    </row>
    <row r="34" spans="1:14" ht="12" customHeight="1">
      <c r="A34" s="57"/>
      <c r="B34" s="57"/>
      <c r="C34" s="52">
        <v>12</v>
      </c>
      <c r="D34" s="55"/>
      <c r="E34" s="79"/>
      <c r="F34" s="89"/>
      <c r="G34" s="87"/>
      <c r="H34" s="95"/>
      <c r="I34" s="95"/>
      <c r="J34" s="118"/>
      <c r="K34" s="118"/>
      <c r="L34" s="96"/>
      <c r="M34" s="95"/>
      <c r="N34" s="57"/>
    </row>
    <row r="35" spans="1:14" ht="12" customHeight="1">
      <c r="A35" s="57"/>
      <c r="B35" s="57"/>
      <c r="C35" s="52">
        <v>13</v>
      </c>
      <c r="D35" s="55"/>
      <c r="E35" s="79"/>
      <c r="F35" s="89"/>
      <c r="G35" s="87"/>
      <c r="H35" s="97"/>
      <c r="I35" s="95"/>
      <c r="J35" s="118"/>
      <c r="K35" s="118"/>
      <c r="L35" s="96"/>
      <c r="M35" s="95"/>
      <c r="N35" s="57"/>
    </row>
    <row r="36" spans="1:14" ht="12" customHeight="1">
      <c r="A36" s="57"/>
      <c r="B36" s="57"/>
      <c r="C36" s="52">
        <v>14</v>
      </c>
      <c r="D36" s="55"/>
      <c r="E36" s="79"/>
      <c r="F36" s="89"/>
      <c r="G36" s="87"/>
      <c r="H36" s="98"/>
      <c r="I36" s="97"/>
      <c r="J36" s="118"/>
      <c r="K36" s="118"/>
      <c r="L36" s="96"/>
      <c r="M36" s="95"/>
      <c r="N36" s="57"/>
    </row>
    <row r="37" spans="1:14" ht="12" customHeight="1">
      <c r="A37" s="57"/>
      <c r="B37" s="57"/>
      <c r="C37" s="52">
        <v>15</v>
      </c>
      <c r="D37" s="85"/>
      <c r="E37" s="53"/>
      <c r="F37" s="89"/>
      <c r="G37" s="87"/>
      <c r="H37" s="98"/>
      <c r="I37" s="97"/>
      <c r="J37" s="118"/>
      <c r="K37" s="118"/>
      <c r="L37" s="98"/>
      <c r="M37" s="95"/>
      <c r="N37" s="57"/>
    </row>
    <row r="38" spans="1:14" ht="12" customHeight="1">
      <c r="A38" s="57"/>
      <c r="B38" s="57"/>
      <c r="C38" s="52">
        <v>16</v>
      </c>
      <c r="D38" s="55"/>
      <c r="E38" s="55"/>
      <c r="F38" s="98"/>
      <c r="G38" s="87"/>
      <c r="H38" s="98"/>
      <c r="I38" s="95"/>
      <c r="J38" s="118"/>
      <c r="K38" s="118"/>
      <c r="L38" s="96"/>
      <c r="M38" s="95"/>
      <c r="N38" s="57"/>
    </row>
    <row r="39" spans="1:14" ht="12" customHeight="1">
      <c r="A39" s="57"/>
      <c r="B39" s="57"/>
      <c r="C39" s="52">
        <v>17</v>
      </c>
      <c r="D39" s="55"/>
      <c r="E39" s="55"/>
      <c r="F39" s="97"/>
      <c r="G39" s="87"/>
      <c r="H39" s="98"/>
      <c r="I39" s="95"/>
      <c r="J39" s="118"/>
      <c r="K39" s="118"/>
      <c r="L39" s="96"/>
      <c r="M39" s="95"/>
      <c r="N39" s="57"/>
    </row>
    <row r="40" spans="1:14" ht="12" customHeight="1">
      <c r="A40" s="57"/>
      <c r="B40" s="57"/>
      <c r="C40" s="52">
        <v>18</v>
      </c>
      <c r="D40" s="86"/>
      <c r="E40" s="86"/>
      <c r="F40" s="98"/>
      <c r="G40" s="99"/>
      <c r="H40" s="98"/>
      <c r="I40" s="95"/>
      <c r="J40" s="118"/>
      <c r="K40" s="118"/>
      <c r="L40" s="98"/>
      <c r="M40" s="95"/>
      <c r="N40" s="57"/>
    </row>
    <row r="41" spans="1:14" ht="12" customHeight="1">
      <c r="A41" s="57"/>
      <c r="B41" s="57"/>
      <c r="C41" s="52">
        <v>19</v>
      </c>
      <c r="D41" s="55"/>
      <c r="E41" s="55"/>
      <c r="F41" s="55"/>
      <c r="G41" s="55"/>
      <c r="H41" s="55"/>
      <c r="I41" s="55"/>
      <c r="J41" s="117"/>
      <c r="K41" s="117"/>
      <c r="L41" s="56"/>
      <c r="M41" s="55"/>
      <c r="N41" s="57"/>
    </row>
    <row r="42" spans="1:14" ht="12" customHeight="1">
      <c r="A42" s="57"/>
      <c r="B42" s="57"/>
      <c r="C42" s="52">
        <v>20</v>
      </c>
      <c r="D42" s="55"/>
      <c r="E42" s="55"/>
      <c r="F42" s="55"/>
      <c r="G42" s="55"/>
      <c r="H42" s="55"/>
      <c r="I42" s="55"/>
      <c r="J42" s="117"/>
      <c r="K42" s="117"/>
      <c r="L42" s="56"/>
      <c r="M42" s="55"/>
      <c r="N42" s="57"/>
    </row>
    <row r="43" spans="1:14" ht="12" customHeight="1">
      <c r="A43" s="57"/>
      <c r="B43" s="57"/>
      <c r="C43" s="55"/>
      <c r="D43" s="55"/>
      <c r="E43" s="55"/>
      <c r="F43" s="55"/>
      <c r="G43" s="55"/>
      <c r="H43" s="55"/>
      <c r="I43" s="55"/>
      <c r="J43" s="117"/>
      <c r="K43" s="117"/>
      <c r="L43" s="56"/>
      <c r="M43" s="55"/>
      <c r="N43" s="57"/>
    </row>
    <row r="44" spans="1:14">
      <c r="A44" s="57"/>
      <c r="B44" s="57"/>
      <c r="C44" s="57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</row>
    <row r="45" spans="1:14">
      <c r="A45" s="57"/>
      <c r="B45" s="57"/>
      <c r="C45" s="57" t="s">
        <v>61</v>
      </c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</row>
    <row r="46" spans="1:14">
      <c r="A46" s="57"/>
      <c r="B46" s="57"/>
      <c r="C46" s="57" t="s">
        <v>62</v>
      </c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</row>
    <row r="47" spans="1:14">
      <c r="A47" s="57"/>
      <c r="B47" s="57"/>
      <c r="C47" s="57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</row>
    <row r="48" spans="1:14">
      <c r="A48" s="57"/>
      <c r="B48" s="57"/>
      <c r="C48" t="s">
        <v>63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</row>
    <row r="49" spans="1:14">
      <c r="A49" s="57"/>
      <c r="B49" s="57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</row>
    <row r="50" spans="1:14">
      <c r="A50" s="57"/>
      <c r="B50" s="57"/>
      <c r="C50" s="57"/>
      <c r="D50" s="83"/>
      <c r="E50" s="84"/>
      <c r="F50" s="84"/>
      <c r="G50" s="83"/>
      <c r="H50" s="84"/>
      <c r="I50" s="84"/>
      <c r="J50" s="83"/>
      <c r="K50" s="83"/>
      <c r="L50" s="83"/>
      <c r="M50" s="83"/>
      <c r="N50" s="83"/>
    </row>
    <row r="51" spans="1:14">
      <c r="A51" s="57"/>
      <c r="B51" s="57"/>
      <c r="C51" s="57"/>
      <c r="D51" s="83"/>
      <c r="E51" s="83" t="s">
        <v>64</v>
      </c>
      <c r="F51" s="82" t="s">
        <v>50</v>
      </c>
      <c r="H51" s="83" t="s">
        <v>53</v>
      </c>
      <c r="I51" s="83" t="s">
        <v>50</v>
      </c>
      <c r="J51" s="83"/>
      <c r="K51" s="83"/>
      <c r="L51" s="83"/>
      <c r="M51" s="83"/>
      <c r="N51" s="83"/>
    </row>
    <row r="52" spans="1:14">
      <c r="A52" s="57"/>
      <c r="B52" s="57"/>
      <c r="C52" s="57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</row>
  </sheetData>
  <autoFilter ref="A22:N22">
    <filterColumn colId="9" showButton="0"/>
  </autoFilter>
  <mergeCells count="41">
    <mergeCell ref="J22:K22"/>
    <mergeCell ref="C19:E20"/>
    <mergeCell ref="C18:E18"/>
    <mergeCell ref="J23:K23"/>
    <mergeCell ref="J31:K31"/>
    <mergeCell ref="J30:K30"/>
    <mergeCell ref="J29:K29"/>
    <mergeCell ref="J28:K28"/>
    <mergeCell ref="J27:K27"/>
    <mergeCell ref="J26:K26"/>
    <mergeCell ref="J25:K25"/>
    <mergeCell ref="J24:K24"/>
    <mergeCell ref="F19:M20"/>
    <mergeCell ref="J32:K32"/>
    <mergeCell ref="J43:K43"/>
    <mergeCell ref="J42:K42"/>
    <mergeCell ref="J41:K41"/>
    <mergeCell ref="J40:K40"/>
    <mergeCell ref="J39:K39"/>
    <mergeCell ref="J38:K38"/>
    <mergeCell ref="J37:K37"/>
    <mergeCell ref="J36:K36"/>
    <mergeCell ref="J35:K35"/>
    <mergeCell ref="J34:K34"/>
    <mergeCell ref="J33:K33"/>
    <mergeCell ref="C8:D8"/>
    <mergeCell ref="C10:D10"/>
    <mergeCell ref="C12:D12"/>
    <mergeCell ref="C13:F13"/>
    <mergeCell ref="C11:F11"/>
    <mergeCell ref="C9:F9"/>
    <mergeCell ref="I15:M15"/>
    <mergeCell ref="I16:M16"/>
    <mergeCell ref="C16:G16"/>
    <mergeCell ref="I18:M18"/>
    <mergeCell ref="I17:M17"/>
    <mergeCell ref="C17:E17"/>
    <mergeCell ref="C15:E15"/>
    <mergeCell ref="F18:G18"/>
    <mergeCell ref="F17:G17"/>
    <mergeCell ref="F15:G15"/>
  </mergeCells>
  <phoneticPr fontId="37" type="noConversion"/>
  <pageMargins left="0.7" right="0.7" top="0.75" bottom="0.75" header="0.3" footer="0.3"/>
  <pageSetup paperSize="9" scale="4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RiskGraphs">
    <tabColor theme="2" tint="-0.249977111117893"/>
    <pageSetUpPr fitToPage="1"/>
  </sheetPr>
  <dimension ref="A1:L20"/>
  <sheetViews>
    <sheetView showGridLines="0" zoomScaleNormal="100" workbookViewId="0">
      <selection activeCell="D8" sqref="D8"/>
    </sheetView>
  </sheetViews>
  <sheetFormatPr defaultColWidth="3.7109375" defaultRowHeight="19.5" customHeight="1" outlineLevelRow="1"/>
  <cols>
    <col min="1" max="2" width="3.7109375" style="2"/>
    <col min="3" max="3" width="10.5703125" style="2" customWidth="1"/>
    <col min="4" max="8" width="11.28515625" style="2" customWidth="1"/>
    <col min="9" max="16384" width="3.7109375" style="2"/>
  </cols>
  <sheetData>
    <row r="1" spans="1:12" ht="72" customHeight="1" thickBot="1">
      <c r="A1" s="127" t="s">
        <v>59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9"/>
    </row>
    <row r="2" spans="1:12" s="16" customFormat="1" ht="26.25" hidden="1" customHeight="1" outlineLevel="1">
      <c r="A2" s="133" t="s">
        <v>13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5"/>
    </row>
    <row r="3" spans="1:12" s="16" customFormat="1" ht="13.5" hidden="1" customHeight="1" outlineLevel="1">
      <c r="A3" s="14"/>
      <c r="B3" s="15"/>
      <c r="C3" s="15"/>
      <c r="D3" s="15"/>
      <c r="E3" s="15"/>
      <c r="F3" s="15"/>
      <c r="G3" s="15"/>
      <c r="H3" s="15"/>
      <c r="I3" s="15"/>
      <c r="J3" s="15"/>
      <c r="K3" s="15"/>
      <c r="L3" s="17"/>
    </row>
    <row r="4" spans="1:12" s="16" customFormat="1" ht="15" hidden="1" outlineLevel="1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7"/>
    </row>
    <row r="5" spans="1:12" ht="19.5" customHeight="1" collapsed="1">
      <c r="A5" s="3"/>
      <c r="B5" s="4"/>
      <c r="C5" s="4"/>
      <c r="D5" s="130" t="s">
        <v>19</v>
      </c>
      <c r="E5" s="130"/>
      <c r="F5" s="130"/>
      <c r="G5" s="130"/>
      <c r="H5" s="130"/>
      <c r="I5" s="4"/>
      <c r="J5" s="4"/>
      <c r="K5" s="4"/>
      <c r="L5" s="45"/>
    </row>
    <row r="6" spans="1:12" ht="19.5" customHeight="1">
      <c r="A6" s="3"/>
      <c r="B6" s="4"/>
      <c r="C6" s="4"/>
      <c r="D6" s="4"/>
      <c r="E6" s="4"/>
      <c r="F6" s="4"/>
      <c r="G6" s="4"/>
      <c r="H6" s="4"/>
      <c r="I6" s="4"/>
      <c r="J6" s="4"/>
      <c r="K6" s="4"/>
      <c r="L6" s="5"/>
    </row>
    <row r="7" spans="1:12" ht="54.75" customHeight="1">
      <c r="A7" s="3"/>
      <c r="B7" s="131"/>
      <c r="C7" s="41" t="s">
        <v>21</v>
      </c>
      <c r="D7" s="7" t="s">
        <v>0</v>
      </c>
      <c r="E7" s="46" t="s">
        <v>2</v>
      </c>
      <c r="F7" s="46" t="s">
        <v>1</v>
      </c>
      <c r="G7" s="46" t="s">
        <v>1</v>
      </c>
      <c r="H7" s="46" t="s">
        <v>1</v>
      </c>
      <c r="I7" s="4"/>
      <c r="J7" s="4"/>
      <c r="K7" s="4"/>
      <c r="L7" s="132"/>
    </row>
    <row r="8" spans="1:12" ht="54.75" customHeight="1">
      <c r="A8" s="3"/>
      <c r="B8" s="131"/>
      <c r="C8" s="6" t="s">
        <v>22</v>
      </c>
      <c r="D8" s="7" t="s">
        <v>0</v>
      </c>
      <c r="E8" s="46" t="s">
        <v>2</v>
      </c>
      <c r="F8" s="46" t="s">
        <v>2</v>
      </c>
      <c r="G8" s="46" t="s">
        <v>1</v>
      </c>
      <c r="H8" s="46" t="s">
        <v>1</v>
      </c>
      <c r="I8" s="4"/>
      <c r="J8" s="4"/>
      <c r="K8" s="4"/>
      <c r="L8" s="132"/>
    </row>
    <row r="9" spans="1:12" ht="54.75" customHeight="1">
      <c r="A9" s="3"/>
      <c r="B9" s="131"/>
      <c r="C9" s="6" t="s">
        <v>23</v>
      </c>
      <c r="D9" s="7" t="s">
        <v>0</v>
      </c>
      <c r="E9" s="46" t="s">
        <v>2</v>
      </c>
      <c r="F9" s="46" t="s">
        <v>2</v>
      </c>
      <c r="G9" s="46" t="s">
        <v>2</v>
      </c>
      <c r="H9" s="46" t="s">
        <v>1</v>
      </c>
      <c r="I9" s="4"/>
      <c r="J9" s="4"/>
      <c r="K9" s="4"/>
      <c r="L9" s="132"/>
    </row>
    <row r="10" spans="1:12" ht="54.75" customHeight="1">
      <c r="A10" s="3"/>
      <c r="B10" s="131"/>
      <c r="C10" s="6" t="s">
        <v>24</v>
      </c>
      <c r="D10" s="7" t="s">
        <v>0</v>
      </c>
      <c r="E10" s="46" t="s">
        <v>0</v>
      </c>
      <c r="F10" s="46" t="s">
        <v>2</v>
      </c>
      <c r="G10" s="46" t="s">
        <v>2</v>
      </c>
      <c r="H10" s="46" t="s">
        <v>2</v>
      </c>
      <c r="I10" s="4"/>
      <c r="J10" s="4"/>
      <c r="K10" s="4"/>
      <c r="L10" s="132"/>
    </row>
    <row r="11" spans="1:12" ht="54.75" customHeight="1" thickBot="1">
      <c r="A11" s="3"/>
      <c r="B11" s="131"/>
      <c r="C11" s="6" t="s">
        <v>25</v>
      </c>
      <c r="D11" s="8" t="s">
        <v>0</v>
      </c>
      <c r="E11" s="9" t="s">
        <v>0</v>
      </c>
      <c r="F11" s="9" t="s">
        <v>0</v>
      </c>
      <c r="G11" s="9" t="s">
        <v>2</v>
      </c>
      <c r="H11" s="9" t="s">
        <v>2</v>
      </c>
      <c r="I11" s="4"/>
      <c r="J11" s="4"/>
      <c r="K11" s="4"/>
      <c r="L11" s="132"/>
    </row>
    <row r="12" spans="1:12" ht="30.75" customHeight="1" thickTop="1">
      <c r="A12" s="3"/>
      <c r="B12" s="4"/>
      <c r="C12" s="4"/>
      <c r="D12" s="6" t="s">
        <v>26</v>
      </c>
      <c r="E12" s="6" t="s">
        <v>27</v>
      </c>
      <c r="F12" s="6" t="s">
        <v>23</v>
      </c>
      <c r="G12" s="6" t="s">
        <v>29</v>
      </c>
      <c r="H12" s="6" t="s">
        <v>28</v>
      </c>
      <c r="I12" s="4"/>
      <c r="J12" s="4"/>
      <c r="K12" s="4"/>
      <c r="L12" s="5"/>
    </row>
    <row r="13" spans="1:12" ht="19.5" customHeight="1">
      <c r="A13" s="3"/>
      <c r="B13" s="4"/>
      <c r="C13" s="4"/>
      <c r="D13" s="126" t="s">
        <v>20</v>
      </c>
      <c r="E13" s="126"/>
      <c r="F13" s="126"/>
      <c r="G13" s="126"/>
      <c r="H13" s="126"/>
      <c r="I13" s="4"/>
      <c r="J13" s="4"/>
      <c r="K13" s="4"/>
      <c r="L13" s="5"/>
    </row>
    <row r="14" spans="1:12" ht="19.5" customHeight="1">
      <c r="A14" s="3"/>
      <c r="B14" s="4"/>
      <c r="C14" s="4"/>
      <c r="D14" s="4"/>
      <c r="E14" s="4"/>
      <c r="F14" s="4"/>
      <c r="G14" s="4"/>
      <c r="H14" s="4"/>
      <c r="I14" s="4"/>
      <c r="J14" s="4"/>
      <c r="K14" s="4"/>
      <c r="L14" s="5"/>
    </row>
    <row r="15" spans="1:12" ht="19.5" customHeight="1">
      <c r="A15" s="3"/>
      <c r="B15" s="4"/>
      <c r="C15" s="10"/>
      <c r="D15" s="42" t="s">
        <v>31</v>
      </c>
      <c r="E15" s="40" t="s">
        <v>16</v>
      </c>
      <c r="F15" s="4"/>
      <c r="G15" s="4"/>
      <c r="H15" s="4"/>
      <c r="I15" s="4"/>
      <c r="J15" s="4"/>
      <c r="K15" s="4"/>
      <c r="L15" s="5"/>
    </row>
    <row r="16" spans="1:12" ht="19.5" customHeight="1">
      <c r="A16" s="3"/>
      <c r="B16" s="4"/>
      <c r="C16" s="10"/>
      <c r="D16" s="4"/>
      <c r="E16" s="40"/>
      <c r="F16" s="4"/>
      <c r="G16" s="4"/>
      <c r="H16" s="4"/>
      <c r="I16" s="4"/>
      <c r="J16" s="4"/>
      <c r="K16" s="4"/>
      <c r="L16" s="5"/>
    </row>
    <row r="17" spans="1:12" ht="19.5" customHeight="1">
      <c r="A17" s="3"/>
      <c r="B17" s="4"/>
      <c r="C17" s="10"/>
      <c r="D17" s="43" t="s">
        <v>23</v>
      </c>
      <c r="E17" s="40" t="s">
        <v>17</v>
      </c>
      <c r="F17" s="4"/>
      <c r="G17" s="4"/>
      <c r="H17" s="4"/>
      <c r="I17" s="4"/>
      <c r="J17" s="4"/>
      <c r="K17" s="4"/>
      <c r="L17" s="5"/>
    </row>
    <row r="18" spans="1:12" ht="19.5" customHeight="1">
      <c r="A18" s="3"/>
      <c r="B18" s="4"/>
      <c r="C18" s="10"/>
      <c r="D18" s="4"/>
      <c r="E18" s="40"/>
      <c r="F18" s="4"/>
      <c r="G18" s="4"/>
      <c r="H18" s="4"/>
      <c r="I18" s="4"/>
      <c r="J18" s="4"/>
      <c r="K18" s="4"/>
      <c r="L18" s="5"/>
    </row>
    <row r="19" spans="1:12" ht="19.5" customHeight="1">
      <c r="A19" s="3"/>
      <c r="B19" s="4"/>
      <c r="C19" s="10"/>
      <c r="D19" s="44" t="s">
        <v>30</v>
      </c>
      <c r="E19" s="40" t="s">
        <v>18</v>
      </c>
      <c r="F19" s="4"/>
      <c r="G19" s="4"/>
      <c r="H19" s="4"/>
      <c r="I19" s="4"/>
      <c r="J19" s="4"/>
      <c r="K19" s="4"/>
      <c r="L19" s="5"/>
    </row>
    <row r="20" spans="1:12" ht="19.5" customHeight="1" thickBot="1">
      <c r="A20" s="13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2"/>
    </row>
  </sheetData>
  <mergeCells count="6">
    <mergeCell ref="D13:H13"/>
    <mergeCell ref="A1:L1"/>
    <mergeCell ref="D5:H5"/>
    <mergeCell ref="B7:B11"/>
    <mergeCell ref="L7:L11"/>
    <mergeCell ref="A2:L2"/>
  </mergeCells>
  <phoneticPr fontId="37" type="noConversion"/>
  <conditionalFormatting sqref="D7:H11">
    <cfRule type="cellIs" dxfId="2" priority="1" stopIfTrue="1" operator="equal">
      <formula>"G"</formula>
    </cfRule>
    <cfRule type="cellIs" dxfId="1" priority="2" stopIfTrue="1" operator="equal">
      <formula>"Y"</formula>
    </cfRule>
    <cfRule type="cellIs" dxfId="0" priority="3" stopIfTrue="1" operator="equal">
      <formula>"R"</formula>
    </cfRule>
  </conditionalFormatting>
  <dataValidations count="1">
    <dataValidation type="list" allowBlank="1" showInputMessage="1" showErrorMessage="1" sqref="D7:H11">
      <formula1>"R, Y, G"</formula1>
    </dataValidation>
  </dataValidations>
  <pageMargins left="0.70866141732283472" right="0.70866141732283472" top="1.3385826771653544" bottom="1.3385826771653544" header="0.70866141732283472" footer="0.70866141732283472"/>
  <pageSetup paperSize="9" scale="89" orientation="landscape" r:id="rId1"/>
  <headerFooter>
    <oddHeader>&amp;LResponsible Engineer:_x000D_
&amp;C_x000D_
 Issue:   &amp;RInfo Class I</oddHeader>
    <oddFooter>&amp;LCP-10-002a Issue 1, Issued by: M Gustafsson 2010-09-02_x000D_
HARDCOPY OF THIS DOCUMENT IS AN UNCONTROLLED COPY&amp;RPage &amp;P(&amp;N)_x000D_
Printed Date: &amp;D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2</vt:i4>
      </vt:variant>
      <vt:variant>
        <vt:lpstr>Namngivna områden</vt:lpstr>
      </vt:variant>
      <vt:variant>
        <vt:i4>1</vt:i4>
      </vt:variant>
    </vt:vector>
  </HeadingPairs>
  <TitlesOfParts>
    <vt:vector size="3" baseType="lpstr">
      <vt:lpstr>Risk Assessment</vt:lpstr>
      <vt:lpstr>Risk Priority Matrix</vt:lpstr>
      <vt:lpstr>riskgraphs_sev_vs_occ_start_corner</vt:lpstr>
    </vt:vector>
  </TitlesOfParts>
  <Company>General Motors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FMEA KCDS Workbook</dc:title>
  <dc:subject>FMEA KCDS template</dc:subject>
  <dc:creator>M Gustafsson</dc:creator>
  <cp:keywords>FMEA KCDS Risk Management</cp:keywords>
  <cp:lastModifiedBy>Anna Mörkerdal</cp:lastModifiedBy>
  <cp:lastPrinted>2015-03-18T09:31:04Z</cp:lastPrinted>
  <dcterms:created xsi:type="dcterms:W3CDTF">2005-05-24T13:35:31Z</dcterms:created>
  <dcterms:modified xsi:type="dcterms:W3CDTF">2016-06-07T15:05:05Z</dcterms:modified>
</cp:coreProperties>
</file>