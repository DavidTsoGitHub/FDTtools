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360" yWindow="285" windowWidth="9690" windowHeight="7110" tabRatio="781" firstSheet="1" activeTab="1"/>
  </bookViews>
  <sheets>
    <sheet name="SignOff" sheetId="35" state="veryHidden" r:id="rId1"/>
    <sheet name="Risk Assessment" sheetId="41" r:id="rId2"/>
    <sheet name="Risk Priority Matrix" sheetId="32" r:id="rId3"/>
  </sheets>
  <externalReferences>
    <externalReference r:id="rId4"/>
    <externalReference r:id="rId5"/>
    <externalReference r:id="rId6"/>
    <externalReference r:id="rId7"/>
  </externalReferences>
  <definedNames>
    <definedName name="_xlnm._FilterDatabase" localSheetId="1" hidden="1">'Risk Assessment'!$A$22:$N$22</definedName>
    <definedName name="a_man" localSheetId="0">[1]DRBFM!#REF!</definedName>
    <definedName name="a_man">[1]DRBFM!#REF!</definedName>
    <definedName name="a_man_date" localSheetId="0">[1]DRBFM!#REF!</definedName>
    <definedName name="a_man_date">[1]DRBFM!#REF!</definedName>
    <definedName name="a_man_resp" localSheetId="0">[1]DRBFM!#REF!</definedName>
    <definedName name="a_man_resp">[1]DRBFM!#REF!</definedName>
    <definedName name="a_val" localSheetId="0">[1]DRBFM!#REF!</definedName>
    <definedName name="a_val">[1]DRBFM!#REF!</definedName>
    <definedName name="a_val_date" localSheetId="0">[1]DRBFM!#REF!</definedName>
    <definedName name="a_val_date">[1]DRBFM!#REF!</definedName>
    <definedName name="a_val_resp" localSheetId="0">[1]DRBFM!#REF!</definedName>
    <definedName name="a_val_resp">[1]DRBFM!#REF!</definedName>
    <definedName name="aaatestrange" localSheetId="0">#REF!</definedName>
    <definedName name="aaatestrange">#REF!</definedName>
    <definedName name="compDate">'[1]Master Data0'!$B$22</definedName>
    <definedName name="_xlnm.Criteria">#N/A</definedName>
    <definedName name="Data_Area">#N/A</definedName>
    <definedName name="_xlnm.Database" localSheetId="0">[2]FMEA!$A$4:$AD$34</definedName>
    <definedName name="_xlnm.Database">[3]FMEA!$A$4:$AD$34</definedName>
    <definedName name="date" localSheetId="0">#REF!</definedName>
    <definedName name="date">#REF!</definedName>
    <definedName name="def_row" localSheetId="0">#REF!</definedName>
    <definedName name="def_row">#REF!</definedName>
    <definedName name="descript" localSheetId="0">'[1]Master Data0'!$B$2</definedName>
    <definedName name="descript">'[4]DFMEA-DRBFM'!$H$1</definedName>
    <definedName name="drbfm_engine">'[1]Master Data0'!$B$12</definedName>
    <definedName name="drbfm_item">#REF!</definedName>
    <definedName name="drbfm_trans">'[1]Master Data0'!$B$11</definedName>
    <definedName name="drbfmNo" localSheetId="0">'[1]Master Data0'!$B$3</definedName>
    <definedName name="drbfmNo">'[4]DFMEA-DRBFM'!$T$1</definedName>
    <definedName name="eval_col" localSheetId="0">#REF!</definedName>
    <definedName name="eval_col">#REF!</definedName>
    <definedName name="_xlnm.Extract">#N/A</definedName>
    <definedName name="fmea_action_responsible">#REF!</definedName>
    <definedName name="fmea_action_taken">#REF!</definedName>
    <definedName name="fmea_action_target_completion_date">#REF!</definedName>
    <definedName name="fmea_detection_1">#REF!</definedName>
    <definedName name="fmea_detection_2">#REF!</definedName>
    <definedName name="fmea_dummy_row">#REF!</definedName>
    <definedName name="fmea_failure_mode">#REF!</definedName>
    <definedName name="fmea_function">#REF!</definedName>
    <definedName name="fmea_function_requirement">#REF!</definedName>
    <definedName name="fmea_header_last_col_indicator">#REF!</definedName>
    <definedName name="fmea_interface">#REF!</definedName>
    <definedName name="fmea_interface_design">#REF!</definedName>
    <definedName name="fmea_key">#REF!</definedName>
    <definedName name="fmea_occurance_1">#REF!</definedName>
    <definedName name="fmea_occurance_2">#REF!</definedName>
    <definedName name="fmea_recommended_actions">#REF!</definedName>
    <definedName name="fmea_review_item">#REF!</definedName>
    <definedName name="fmea_risk_evaluation_1">#REF!</definedName>
    <definedName name="fmea_risk_evaluation_2">#REF!</definedName>
    <definedName name="fmea_risk_evaluation_enabled_disabled">#REF!</definedName>
    <definedName name="fmea_severity_1">#REF!</definedName>
    <definedName name="fmea_severity_2">#REF!</definedName>
    <definedName name="fmea_status">#REF!</definedName>
    <definedName name="frsusp01" localSheetId="0">[2]FMEA!$A$4:$AD$34</definedName>
    <definedName name="frsusp01">[3]FMEA!$A$4:$AD$34</definedName>
    <definedName name="function">#REF!</definedName>
    <definedName name="function_key">#REF!</definedName>
    <definedName name="function_requirement">#REF!</definedName>
    <definedName name="Graph_data">#N/A</definedName>
    <definedName name="interface">#REF!</definedName>
    <definedName name="interface_design">#REF!</definedName>
    <definedName name="interface_key">#REF!</definedName>
    <definedName name="kcds_aqc_end_ref">#REF!</definedName>
    <definedName name="kcds_aqc_start_ref">#REF!</definedName>
    <definedName name="kcds_aqc_status">#REF!</definedName>
    <definedName name="kcds_aqc_what_to_do">#REF!</definedName>
    <definedName name="kcds_aqc_what_was_done">#REF!</definedName>
    <definedName name="kcds_aqc_yes_no">#REF!</definedName>
    <definedName name="kcds_end_ref">#REF!</definedName>
    <definedName name="kcds_questions_back_to_kcds">#REF!</definedName>
    <definedName name="kcds_see_kcds_questions">#REF!</definedName>
    <definedName name="kcds_status">#REF!</definedName>
    <definedName name="kcds_what_to_do">#REF!</definedName>
    <definedName name="kcds_what_was_done">#REF!</definedName>
    <definedName name="Last_Line">#N/A</definedName>
    <definedName name="Line_Number">#N/A</definedName>
    <definedName name="matrix_function_end_row_ref">#REF!</definedName>
    <definedName name="matrix_interface_end_column_ref">#REF!</definedName>
    <definedName name="matrix_row_number">#REF!</definedName>
    <definedName name="matrix_upper_left_corner">#REF!</definedName>
    <definedName name="md_fmea_actions">#REF!</definedName>
    <definedName name="md_fmea_completion_date">#REF!</definedName>
    <definedName name="md_fmea_issue">#REF!</definedName>
    <definedName name="md_fmea_issue_date">#REF!</definedName>
    <definedName name="md_fmea_phase">#REF!</definedName>
    <definedName name="md_fmea_registration_no">#REF!</definedName>
    <definedName name="md_fmea_responsible_engineer">#REF!</definedName>
    <definedName name="md_fmea_risk_status">#REF!</definedName>
    <definedName name="md_fmea_risk_summary">#REF!</definedName>
    <definedName name="md_fmea_scope">#REF!</definedName>
    <definedName name="md_fmea_start_date">#REF!</definedName>
    <definedName name="md_inputs_to_fmea_required">#REF!</definedName>
    <definedName name="md_kcds_actions">#REF!</definedName>
    <definedName name="md_kcds_aqc_actions">#REF!</definedName>
    <definedName name="md_notes">#REF!</definedName>
    <definedName name="md_show_hide_help_rows">#REF!</definedName>
    <definedName name="md_sign_off_sheet_insert_object">#REF!</definedName>
    <definedName name="md_sign_off_status">#REF!</definedName>
    <definedName name="my" localSheetId="0">'[1]Master Data0'!$B$5</definedName>
    <definedName name="my">'[4]DFMEA-DRBFM'!$H$2</definedName>
    <definedName name="notes_date">#REF!</definedName>
    <definedName name="notes_notes">#REF!</definedName>
    <definedName name="notes_ref_no">#REF!</definedName>
    <definedName name="notes_table_end_ref">#REF!</definedName>
    <definedName name="origdate">'[1]Master Data0'!$B$18</definedName>
    <definedName name="part" localSheetId="0">#REF!</definedName>
    <definedName name="part">#REF!</definedName>
    <definedName name="Pr_area">#N/A</definedName>
    <definedName name="preparer">'[1]Master Data0'!$B$17</definedName>
    <definedName name="proc" localSheetId="0">#REF!</definedName>
    <definedName name="proc">#REF!</definedName>
    <definedName name="program" localSheetId="0">'[1]Master Data0'!$B$6</definedName>
    <definedName name="program">'[4]DFMEA-DRBFM'!$H$3</definedName>
    <definedName name="r_color" localSheetId="0">#REF!</definedName>
    <definedName name="r_color">#REF!</definedName>
    <definedName name="resp">'[1]Master Data0'!$B$13</definedName>
    <definedName name="revdate">'[1]Master Data0'!$B$20</definedName>
    <definedName name="review_start" localSheetId="0">#REF!</definedName>
    <definedName name="review_start">#REF!</definedName>
    <definedName name="revno">'[1]Master Data0'!$B$19</definedName>
    <definedName name="riskgraphs_sev_vs_det_start_corner">'Risk Priority Matrix'!#REF!</definedName>
    <definedName name="riskgraphs_sev_vs_occ_start_corner">'Risk Priority Matrix'!$C$12</definedName>
    <definedName name="SignOf">#REF!</definedName>
    <definedName name="t_color" localSheetId="0">#REF!</definedName>
    <definedName name="t_color">#REF!</definedName>
    <definedName name="team_date_end_ref">#REF!</definedName>
    <definedName name="team_date_start_ref">#REF!</definedName>
    <definedName name="team_fmea_issue">#REF!</definedName>
    <definedName name="team_fmea_phase">#REF!</definedName>
    <definedName name="team_session_date">#REF!</definedName>
    <definedName name="test_start" localSheetId="0">#REF!</definedName>
    <definedName name="test_start">#REF!</definedName>
    <definedName name="User_file">"DESIGN.FP"</definedName>
    <definedName name="vpps">'[1]Master Data0'!$B$10</definedName>
  </definedNames>
  <calcPr calcId="145621"/>
</workbook>
</file>

<file path=xl/calcChain.xml><?xml version="1.0" encoding="utf-8"?>
<calcChain xmlns="http://schemas.openxmlformats.org/spreadsheetml/2006/main">
  <c r="B5" i="35" l="1"/>
  <c r="B6" i="35"/>
</calcChain>
</file>

<file path=xl/comments1.xml><?xml version="1.0" encoding="utf-8"?>
<comments xmlns="http://schemas.openxmlformats.org/spreadsheetml/2006/main">
  <authors>
    <author>Windows User</author>
  </authors>
  <commentList>
    <comment ref="D22" authorId="0">
      <text>
        <r>
          <rPr>
            <b/>
            <sz val="9"/>
            <color indexed="81"/>
            <rFont val="Tahoma"/>
            <family val="2"/>
          </rPr>
          <t>Windows User:</t>
        </r>
        <r>
          <rPr>
            <sz val="9"/>
            <color indexed="81"/>
            <rFont val="Tahoma"/>
            <family val="2"/>
          </rPr>
          <t xml:space="preserve">
Affected area</t>
        </r>
      </text>
    </comment>
    <comment ref="G22" authorId="0">
      <text>
        <r>
          <rPr>
            <b/>
            <sz val="9"/>
            <color indexed="81"/>
            <rFont val="Tahoma"/>
            <family val="2"/>
          </rPr>
          <t>Windows User:</t>
        </r>
        <r>
          <rPr>
            <sz val="9"/>
            <color indexed="81"/>
            <rFont val="Tahoma"/>
            <family val="2"/>
          </rPr>
          <t xml:space="preserve">
According to Risk Matrix</t>
        </r>
      </text>
    </comment>
    <comment ref="J22" authorId="0">
      <text>
        <r>
          <rPr>
            <b/>
            <sz val="9"/>
            <color indexed="81"/>
            <rFont val="Tahoma"/>
            <family val="2"/>
          </rPr>
          <t>Windows User:</t>
        </r>
        <r>
          <rPr>
            <sz val="9"/>
            <color indexed="81"/>
            <rFont val="Tahoma"/>
            <family val="2"/>
          </rPr>
          <t xml:space="preserve">
Explain what actions will be taken to prevent risks. To be filled in by the Responsible.</t>
        </r>
      </text>
    </comment>
    <comment ref="M22" authorId="0">
      <text>
        <r>
          <rPr>
            <b/>
            <sz val="9"/>
            <color indexed="81"/>
            <rFont val="Tahoma"/>
            <family val="2"/>
          </rPr>
          <t>Windows User:</t>
        </r>
        <r>
          <rPr>
            <sz val="9"/>
            <color indexed="81"/>
            <rFont val="Tahoma"/>
            <family val="2"/>
          </rPr>
          <t xml:space="preserve">
Open/Closed
Closed when action taken</t>
        </r>
      </text>
    </comment>
  </commentList>
</comments>
</file>

<file path=xl/sharedStrings.xml><?xml version="1.0" encoding="utf-8"?>
<sst xmlns="http://schemas.openxmlformats.org/spreadsheetml/2006/main" count="261" uniqueCount="178">
  <si>
    <t>G</t>
  </si>
  <si>
    <t>R</t>
  </si>
  <si>
    <t>Y</t>
  </si>
  <si>
    <t>Responsible Engineer</t>
  </si>
  <si>
    <t>(only needed if RED items are contained)</t>
  </si>
  <si>
    <t>Rejected</t>
  </si>
  <si>
    <t>Approved</t>
  </si>
  <si>
    <t>Document Status:</t>
  </si>
  <si>
    <t>VSE</t>
  </si>
  <si>
    <t>Chief Engineer</t>
  </si>
  <si>
    <t>Date &amp; Signature:</t>
  </si>
  <si>
    <t xml:space="preserve">Issue:                                            </t>
  </si>
  <si>
    <t>Document Number:</t>
  </si>
  <si>
    <r>
      <t xml:space="preserve">To hide Help rows click </t>
    </r>
    <r>
      <rPr>
        <b/>
        <i/>
        <sz val="14"/>
        <color theme="0" tint="-0.499984740745262"/>
        <rFont val="Tahoma"/>
        <family val="2"/>
      </rPr>
      <t>-</t>
    </r>
    <r>
      <rPr>
        <b/>
        <i/>
        <sz val="10"/>
        <color theme="0" tint="-0.499984740745262"/>
        <rFont val="Tahoma"/>
        <family val="2"/>
      </rPr>
      <t xml:space="preserve"> on left side.</t>
    </r>
  </si>
  <si>
    <r>
      <t xml:space="preserve">            Sign Off  Sheet - </t>
    </r>
    <r>
      <rPr>
        <sz val="14"/>
        <color theme="1"/>
        <rFont val="Tahoma"/>
        <family val="2"/>
      </rPr>
      <t>FMEA including KCDS</t>
    </r>
  </si>
  <si>
    <r>
      <rPr>
        <b/>
        <i/>
        <sz val="10"/>
        <color theme="0" tint="-0.499984740745262"/>
        <rFont val="Tahoma"/>
        <family val="2"/>
      </rPr>
      <t xml:space="preserve">To hide Help rows click </t>
    </r>
    <r>
      <rPr>
        <b/>
        <i/>
        <sz val="14"/>
        <color theme="0" tint="-0.499984740745262"/>
        <rFont val="Tahoma"/>
        <family val="2"/>
      </rPr>
      <t>-</t>
    </r>
    <r>
      <rPr>
        <b/>
        <i/>
        <sz val="10"/>
        <color theme="0" tint="-0.499984740745262"/>
        <rFont val="Tahoma"/>
        <family val="2"/>
      </rPr>
      <t xml:space="preserve"> on left side.</t>
    </r>
    <r>
      <rPr>
        <i/>
        <sz val="10"/>
        <color theme="0" tint="-0.499984740745262"/>
        <rFont val="Tahoma"/>
        <family val="2"/>
      </rPr>
      <t xml:space="preserve">
Shaded fields are automatically updated from MasterData sheet.
</t>
    </r>
    <r>
      <rPr>
        <i/>
        <u/>
        <sz val="10"/>
        <color theme="0" tint="-0.499984740745262"/>
        <rFont val="Tahoma"/>
        <family val="2"/>
      </rPr>
      <t>Approved:</t>
    </r>
    <r>
      <rPr>
        <i/>
        <sz val="10"/>
        <color theme="0" tint="-0.499984740745262"/>
        <rFont val="Tahoma"/>
        <family val="2"/>
      </rPr>
      <t xml:space="preserve"> If RED items are contained explaination is required, use Notes sheet.
</t>
    </r>
    <r>
      <rPr>
        <i/>
        <u/>
        <sz val="10"/>
        <color theme="0" tint="-0.499984740745262"/>
        <rFont val="Tahoma"/>
        <family val="2"/>
      </rPr>
      <t>Rejected:</t>
    </r>
    <r>
      <rPr>
        <i/>
        <sz val="10"/>
        <color theme="0" tint="-0.499984740745262"/>
        <rFont val="Tahoma"/>
        <family val="2"/>
      </rPr>
      <t xml:space="preserve"> Reason/explaination is required, use Notes sheet.
</t>
    </r>
    <r>
      <rPr>
        <i/>
        <u/>
        <sz val="10"/>
        <color theme="0" tint="-0.499984740745262"/>
        <rFont val="Tahoma"/>
        <family val="2"/>
      </rPr>
      <t>Add reference/s to Notes in Master Data sheet -  "Sign Off Notes" field.</t>
    </r>
  </si>
  <si>
    <t xml:space="preserve"> Action required</t>
  </si>
  <si>
    <t xml:space="preserve"> Action may be required. Discuss feasability.</t>
  </si>
  <si>
    <t xml:space="preserve"> Ok</t>
  </si>
  <si>
    <t>Risk Rating</t>
  </si>
  <si>
    <t>Consequence</t>
  </si>
  <si>
    <t>Almost certain</t>
  </si>
  <si>
    <t>Likely</t>
  </si>
  <si>
    <t>Moderate</t>
  </si>
  <si>
    <t>Unlikely</t>
  </si>
  <si>
    <t>Rare</t>
  </si>
  <si>
    <t>Negligible</t>
  </si>
  <si>
    <t>Minor</t>
  </si>
  <si>
    <t>Severe</t>
  </si>
  <si>
    <t>Significant</t>
  </si>
  <si>
    <t>Low</t>
  </si>
  <si>
    <t>High</t>
  </si>
  <si>
    <t>Responsible</t>
  </si>
  <si>
    <t>Category</t>
  </si>
  <si>
    <t>Risk description</t>
  </si>
  <si>
    <t>Risk Effect</t>
  </si>
  <si>
    <t>Risk Priority</t>
  </si>
  <si>
    <t>Risk reduction action</t>
  </si>
  <si>
    <t>D28 Vehicle</t>
  </si>
  <si>
    <t>Unclear vehicle interfaces</t>
  </si>
  <si>
    <t>If we have a lack of requirements this will have an impact on timing, quality and cost.</t>
  </si>
  <si>
    <t>DFTC needs to ensure that all requirements are collected and fully understood by all parties in a early phase of the project.</t>
  </si>
  <si>
    <t>Wang Jung Peng</t>
  </si>
  <si>
    <t>Risk Handling Plan</t>
  </si>
  <si>
    <t>Status</t>
  </si>
  <si>
    <t>Management</t>
  </si>
  <si>
    <t>Change Management</t>
  </si>
  <si>
    <t>Changes that will impact the project in any way must be communicated asap to ensure success</t>
  </si>
  <si>
    <t>Changes may effect functionality, quality, timeplans and/or cost</t>
  </si>
  <si>
    <t xml:space="preserve">High </t>
  </si>
  <si>
    <t>Page:</t>
  </si>
  <si>
    <t>Version:</t>
  </si>
  <si>
    <t>Class:</t>
  </si>
  <si>
    <t>Name of document:</t>
  </si>
  <si>
    <t>Type:</t>
  </si>
  <si>
    <t>Issued by:</t>
  </si>
  <si>
    <t>Sign:</t>
  </si>
  <si>
    <t>Date:</t>
  </si>
  <si>
    <t>Anna Mörkerdal</t>
  </si>
  <si>
    <t>Approved by:</t>
  </si>
  <si>
    <t>Klas Lundgren</t>
  </si>
  <si>
    <t>Project name</t>
  </si>
  <si>
    <t>Date</t>
  </si>
  <si>
    <t>Project no.</t>
  </si>
  <si>
    <t>Project Manager</t>
  </si>
  <si>
    <t>Customer</t>
  </si>
  <si>
    <t>Customer Contact</t>
  </si>
  <si>
    <t>Project Description</t>
  </si>
  <si>
    <t>I</t>
  </si>
  <si>
    <t>#</t>
  </si>
  <si>
    <t>Project Risk Assessment</t>
  </si>
  <si>
    <t>Risk Priority Matrix</t>
  </si>
  <si>
    <t>KLn</t>
  </si>
  <si>
    <t>AMl</t>
  </si>
  <si>
    <t>T-15-0022</t>
  </si>
  <si>
    <t>Other</t>
  </si>
  <si>
    <t xml:space="preserve">Dennis Kristensson </t>
  </si>
  <si>
    <t xml:space="preserve">EMS Developement for C10 TD Engine. </t>
  </si>
  <si>
    <t xml:space="preserve">DFTC </t>
  </si>
  <si>
    <t>T14013</t>
  </si>
  <si>
    <t>EMS C10TD</t>
  </si>
  <si>
    <t>Hardware</t>
  </si>
  <si>
    <t>Engine changes/Updates</t>
  </si>
  <si>
    <t>Closed</t>
  </si>
  <si>
    <t>First Engine Status</t>
  </si>
  <si>
    <t>HW problems with prototyp engines may impact the timing and cost for the project.</t>
  </si>
  <si>
    <t xml:space="preserve">We need to be preppared with spare parts and in worst case spare engines to ensure we are not loosing time if we get a brake down. </t>
  </si>
  <si>
    <t xml:space="preserve">Transmission </t>
  </si>
  <si>
    <t xml:space="preserve">Interaction between the transmission and Engine </t>
  </si>
  <si>
    <t>Impact in the performance/behaviour.</t>
  </si>
  <si>
    <t xml:space="preserve">Have all requierments form the transmission supplier collected in a early phase. </t>
  </si>
  <si>
    <t xml:space="preserve">Vehicels </t>
  </si>
  <si>
    <t>Prototyp Vehicle Status</t>
  </si>
  <si>
    <t>If prototyp vehciles will not work we will have impact on Timing and Cost for the project.</t>
  </si>
  <si>
    <t xml:space="preserve">Low </t>
  </si>
  <si>
    <t xml:space="preserve">Make testing in Wuhan before they will be shipped to Sweden. </t>
  </si>
  <si>
    <t>Ensure we have resources on site in Wuhan to test the cars after they are build. Travel plan shall cover this.</t>
  </si>
  <si>
    <t>Software</t>
  </si>
  <si>
    <t>Initial Cal Release</t>
  </si>
  <si>
    <t>None working software.</t>
  </si>
  <si>
    <t>Ensure we have all facts regarding the engine parts and controll strategies.</t>
  </si>
  <si>
    <t>Ensure we have a good colaboration with AVL and that we could get the calibration files from AVL test bench to re-use as much as possible.</t>
  </si>
  <si>
    <t>GDI Challenges</t>
  </si>
  <si>
    <t>Wet Components needs to be clarified how responsible.</t>
  </si>
  <si>
    <t xml:space="preserve">This is now covered in the RASIC. </t>
  </si>
  <si>
    <t>HW</t>
  </si>
  <si>
    <t>EMS Components</t>
  </si>
  <si>
    <t xml:space="preserve">HW </t>
  </si>
  <si>
    <t xml:space="preserve">Catalyst Converters </t>
  </si>
  <si>
    <t>Quality and perfromance of the catalyst converter.</t>
  </si>
  <si>
    <t xml:space="preserve">After Durability test performed. </t>
  </si>
  <si>
    <t>Open</t>
  </si>
  <si>
    <t xml:space="preserve">Done </t>
  </si>
  <si>
    <t>2016-04-01 (After Bench Cal)</t>
  </si>
  <si>
    <t>2016-03-12 (After testing in Wuhan)</t>
  </si>
  <si>
    <t>2016-01-29 (Release date)</t>
  </si>
  <si>
    <t>Continuesly during the project.</t>
  </si>
  <si>
    <t xml:space="preserve">Continuesly during the project. Will be moved to weekly meetings. </t>
  </si>
  <si>
    <t>Follow up test Vehicels.</t>
  </si>
  <si>
    <t>Closing date</t>
  </si>
  <si>
    <t>This document requires signatures from both parties.</t>
  </si>
  <si>
    <t>We hereby fully understand and recognize the risks stated in this document. The Responsible is obligated to have a Risk Handling Plan for all High priority risks.</t>
  </si>
  <si>
    <t>Signatures</t>
  </si>
  <si>
    <t>T-Engineering AB</t>
  </si>
  <si>
    <t xml:space="preserve">Requierments </t>
  </si>
  <si>
    <t>Beijing 6</t>
  </si>
  <si>
    <t>Follow up this when the requierments are finalized.</t>
  </si>
  <si>
    <t>Dennis / Wang Jung Peng</t>
  </si>
  <si>
    <t xml:space="preserve">When the requierments are clearified we need to make an impact presenatation for the project. </t>
  </si>
  <si>
    <t xml:space="preserve">4 weeks after the requierments are clarified. </t>
  </si>
  <si>
    <t>Reg.no:</t>
    <phoneticPr fontId="37" type="noConversion"/>
  </si>
  <si>
    <t xml:space="preserve"> 
2015.3.23: wangjunpeng
1. use requirement management trace matrix table to trace and management the requirement 
2. use open issue table to follow all technique issues, and discussed in the weekly meeting</t>
  </si>
  <si>
    <r>
      <t xml:space="preserve">
</t>
    </r>
    <r>
      <rPr>
        <sz val="10"/>
        <rFont val="Calibri"/>
        <family val="2"/>
      </rPr>
      <t>Wang Junpeng20150320</t>
    </r>
    <r>
      <rPr>
        <sz val="10"/>
        <rFont val="宋体"/>
        <family val="3"/>
        <charset val="134"/>
      </rPr>
      <t>：</t>
    </r>
    <r>
      <rPr>
        <sz val="10"/>
        <rFont val="Calibri"/>
        <family val="2"/>
      </rPr>
      <t>control plan
1. 3.30 EMS interface V1.0, match 4.30 sample
2. 5.30 Vehicle interfaceV1.0, match FT Vehicle</t>
    </r>
  </si>
  <si>
    <t>Ensure we have spare engines and spare parts to repais engines if we get brake downs
2015.3.23 Wangjunpeng:
1. 2015.12.01, 4 FT engines, 2 for T-Eng, and 2 for DFTC,  C10TD team have made the requirement into their plan, we will have in total 4 engines for the EMS team that we could use in the best way if something happens. 
2.  Mr. Yu jun follow FT engine and Bench resource in Wuhan</t>
  </si>
  <si>
    <t>None working software.
2015.3.23
Wang junpeng:
if some of the EMS component is ignored or its parameter can  not meet requirement of control strategy, the EMS component will net selected and layout or wrong EMS component will be selected</t>
  </si>
  <si>
    <t xml:space="preserve">We need to ensure all EMS components specifications are availabel and decided in a eairly phase of the project to ensure the ECU and SW functionality.
2015.3.23 Wangjunpeng
1. T-Eng should ensure the EMS component list can realize the software function.
2. for the sensors, T-Eng should  put forward the requirements for measuring range to meet the requirement of control strategy 
</t>
  </si>
  <si>
    <t>EMS component list 2015-3-25
EMS Specification 2015-6-1</t>
  </si>
  <si>
    <t>Dennis
/Wang Jung Peng</t>
  </si>
  <si>
    <t xml:space="preserve">Ensure we have a open dicussion regarding all modifications/changes in the project.  
2015.3.23 Wangjunpeng : 
1. same as item 2
2. DFTC have weekly meeting to get the changes </t>
  </si>
  <si>
    <t xml:space="preserve">Wang JunPeng </t>
  </si>
  <si>
    <t>Updated Date:</t>
  </si>
  <si>
    <t>Creation Date</t>
  </si>
  <si>
    <t>BSW will be integrated on Conti ECU HW for the first time. 
Deticated periphery IC drivers &amp; CDD should be newly developed.  
Integration &amp; test should be done on Conti ECU HW.</t>
  </si>
  <si>
    <t>BSW</t>
  </si>
  <si>
    <t xml:space="preserve">BSW defects will make ECU SOP impossible, New TPU Code for GDI and 3 cylinder engine. </t>
  </si>
  <si>
    <t>GDI control strategy SW development &amp; integration should be fulfilled before bench calibration.
It is hard to ensure the quality of  control strategy SW in such a short time.</t>
  </si>
  <si>
    <t>Imperfect control strategy and ASW defects will make ECU SOP impossible.</t>
  </si>
  <si>
    <t>Problems exits in test enviromemt setup, Test cases and test staff are not sufficient. Test range and cover degree is not enough. 
In fact, Test can't validate ECU design problems and deftects.</t>
  </si>
  <si>
    <t>Wang JunPeng / Dennis Kristensson</t>
  </si>
  <si>
    <t>Test</t>
  </si>
  <si>
    <t>Without comprehensive test, it is hard to ensure product quality;
design defects won't be revealed  until bench calibration phase or even vehicle calbriation phase. This will have a strong impact on project milestones and progress.</t>
  </si>
  <si>
    <t>There are so many uncertainties in carrying out project. This will effect progress and quality of the project.</t>
  </si>
  <si>
    <t>System Intergration</t>
  </si>
  <si>
    <t xml:space="preserve">Ensure we have a good colaboration with the transmission supplier in a earlie phase. 
2015.3.23 Wangjunpeng:
1.  contact the DCT team, to establish communication with DCT team
2. the DCT to be used in the D28 is the same in F37, Mr. Zhou yao will send the DCT CAN matrix of F37 via FTP to T-Eng as a reference.
3. 2015-12-01 Discussion with Getrag is good and we have the requiered specifications. </t>
  </si>
  <si>
    <t xml:space="preserve">Ensure we have specifications form Conti. </t>
  </si>
  <si>
    <t xml:space="preserve">2015-12-01 We are on track with the Conti ECU and we could close this item. </t>
  </si>
  <si>
    <t xml:space="preserve">Use existing 4 Cyl TGDI engine in a Saab Vehicle to test SW functionality. </t>
  </si>
  <si>
    <t xml:space="preserve">To have a complete plan for the Powertrain including transmission and base engine. </t>
  </si>
  <si>
    <t xml:space="preserve">Engine availability </t>
  </si>
  <si>
    <t>Delays in deliveries to T-Eng will have an impact on timing, quality and cost.</t>
  </si>
  <si>
    <t>Wang JunPeng</t>
  </si>
  <si>
    <t>ET Engines changes</t>
  </si>
  <si>
    <t>If we have major changes on the ET Engine this will have an impact on Timing, quality and cost.</t>
  </si>
  <si>
    <t xml:space="preserve">Have a open communication between base engine and transmission as well as EMS team. </t>
  </si>
  <si>
    <t>Ensure we could send the engines on time and use shipping by aircraft to reduce shipping time.</t>
  </si>
  <si>
    <t xml:space="preserve">This work is ongoing with Conti and internaly DFTC. And will be followed up on a weekly basis. 
2015.3.23 Wang junpeng
1. T-Eng had confirmed the EMS component list
2. DFTC is working with Conti for the interface between ECU and EMS component.
3. T-Eng add Risk handling Plan
4. 2015-12-01 T-Eng have the requiered specifications so this risk could be closed. </t>
  </si>
  <si>
    <t xml:space="preserve">Ensure we have follow oure test vehicels during the development and evaluate the emissions test to try to find some trends. 
2015-12-02 Wang Jun Peng will checjk if we could get aged converters form durability vehicels in Wuhan. </t>
  </si>
  <si>
    <t xml:space="preserve">2015-12-01 We are currently running the 4 Cyl TDGI with the Conti Sample B ECU. 
2015-12-02 Talk to AVL to learn more about the Engine design targets. </t>
  </si>
  <si>
    <t xml:space="preserve">Ensure we continusly improve the Hil test environment, and ensure we have plans to make this happen. Also en sure that we have manpower to make this testing. </t>
  </si>
  <si>
    <t xml:space="preserve">2015-12-02 T-Eng have employed more resources to test team. 
We shall improve the communication to DFTC team and the goal is that we could performed the same tests in Wuhan. </t>
  </si>
  <si>
    <t>No complete system integration scheme</t>
  </si>
  <si>
    <t xml:space="preserve">Common timing workshops between all involved parties. This must be handled in separat managemnet improvement work for PMO. </t>
  </si>
  <si>
    <t xml:space="preserve">The shipping is ordered by aircraft for 2 engines. </t>
  </si>
  <si>
    <t xml:space="preserve">Arrrange weekly meeting with Getrag and AVL. </t>
  </si>
  <si>
    <t xml:space="preserve">Everything is new in this project such as New EMS, Conti HW, New base engine. </t>
  </si>
  <si>
    <t xml:space="preserve">Dennis / Wang JunPeng </t>
  </si>
  <si>
    <t>??</t>
  </si>
  <si>
    <r>
      <t xml:space="preserve">Delvelopemnt of to many new system is a high risk. Could impact </t>
    </r>
    <r>
      <rPr>
        <b/>
        <sz val="10"/>
        <rFont val="Opel Sans"/>
      </rPr>
      <t>timing</t>
    </r>
    <r>
      <rPr>
        <sz val="10"/>
        <rFont val="Opel Sans"/>
      </rPr>
      <t xml:space="preserve">, quality and cost. </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</si>
</sst>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
    <numFmt numFmtId="165" formatCode="_(* #,##0.00_);_(* \(#,##0.00\);_(* &quot;-&quot;??_);_(@_)"/>
  </numFmts>
  <fonts count="40">
    <font>
      <sz val="10"/>
      <name val="Opel Sans"/>
    </font>
    <font>
      <sz val="11"/>
      <color theme="1"/>
      <name val="Georgia"/>
      <family val="2"/>
      <scheme val="minor"/>
    </font>
    <font>
      <sz val="10"/>
      <name val="Arial"/>
      <family val="2"/>
    </font>
    <font>
      <sz val="11"/>
      <name val="Arial"/>
      <family val="2"/>
    </font>
    <font>
      <sz val="8"/>
      <name val="Helv"/>
    </font>
    <font>
      <sz val="24"/>
      <name val="Times New Roman"/>
      <family val="1"/>
    </font>
    <font>
      <sz val="10"/>
      <name val="Opel Sans"/>
      <family val="2"/>
    </font>
    <font>
      <sz val="10"/>
      <name val="Tahoma"/>
      <family val="2"/>
    </font>
    <font>
      <i/>
      <sz val="10"/>
      <name val="Tahoma"/>
      <family val="2"/>
    </font>
    <font>
      <sz val="12"/>
      <name val="Tahoma"/>
      <family val="2"/>
    </font>
    <font>
      <i/>
      <sz val="10"/>
      <color theme="0" tint="-0.499984740745262"/>
      <name val="Tahoma"/>
      <family val="2"/>
    </font>
    <font>
      <sz val="11"/>
      <name val="Tahoma"/>
      <family val="2"/>
    </font>
    <font>
      <sz val="18"/>
      <color theme="1"/>
      <name val="Tahoma"/>
      <family val="2"/>
    </font>
    <font>
      <b/>
      <i/>
      <sz val="10"/>
      <color theme="0" tint="-0.499984740745262"/>
      <name val="Tahoma"/>
      <family val="2"/>
    </font>
    <font>
      <b/>
      <i/>
      <sz val="14"/>
      <color theme="0" tint="-0.499984740745262"/>
      <name val="Tahoma"/>
      <family val="2"/>
    </font>
    <font>
      <sz val="10"/>
      <color theme="0" tint="-0.499984740745262"/>
      <name val="Tahoma"/>
      <family val="2"/>
    </font>
    <font>
      <i/>
      <u/>
      <sz val="10"/>
      <color theme="0" tint="-0.499984740745262"/>
      <name val="Tahoma"/>
      <family val="2"/>
    </font>
    <font>
      <sz val="18"/>
      <color theme="0" tint="-0.499984740745262"/>
      <name val="Tahoma"/>
      <family val="2"/>
    </font>
    <font>
      <sz val="12"/>
      <color theme="0" tint="-0.499984740745262"/>
      <name val="Tahoma"/>
      <family val="2"/>
    </font>
    <font>
      <sz val="14"/>
      <color theme="1"/>
      <name val="Tahoma"/>
      <family val="2"/>
    </font>
    <font>
      <i/>
      <sz val="18"/>
      <color theme="1"/>
      <name val="Tahoma"/>
      <family val="2"/>
    </font>
    <font>
      <sz val="12"/>
      <color theme="1"/>
      <name val="Tahoma"/>
      <family val="2"/>
    </font>
    <font>
      <i/>
      <sz val="18"/>
      <color theme="0" tint="-0.499984740745262"/>
      <name val="Tahoma"/>
      <family val="2"/>
    </font>
    <font>
      <sz val="9"/>
      <color indexed="81"/>
      <name val="Tahoma"/>
      <family val="2"/>
    </font>
    <font>
      <b/>
      <sz val="9"/>
      <color indexed="81"/>
      <name val="Tahoma"/>
      <family val="2"/>
    </font>
    <font>
      <sz val="8"/>
      <color theme="1"/>
      <name val="Georgia"/>
      <family val="2"/>
      <scheme val="minor"/>
    </font>
    <font>
      <b/>
      <sz val="16"/>
      <color theme="1"/>
      <name val="Georgia"/>
      <family val="1"/>
      <scheme val="major"/>
    </font>
    <font>
      <sz val="10"/>
      <color theme="1"/>
      <name val="Georgia"/>
      <family val="2"/>
      <scheme val="minor"/>
    </font>
    <font>
      <sz val="8"/>
      <color theme="1"/>
      <name val="Calibri"/>
      <family val="2"/>
    </font>
    <font>
      <b/>
      <sz val="12"/>
      <color theme="1"/>
      <name val="Cambria"/>
      <family val="1"/>
    </font>
    <font>
      <sz val="10"/>
      <color theme="1"/>
      <name val="Calibri"/>
      <family val="2"/>
    </font>
    <font>
      <sz val="10"/>
      <name val="Calibri"/>
      <family val="2"/>
    </font>
    <font>
      <b/>
      <sz val="10"/>
      <name val="Calibri"/>
      <family val="2"/>
    </font>
    <font>
      <b/>
      <sz val="10"/>
      <color theme="1"/>
      <name val="Calibri"/>
      <family val="2"/>
    </font>
    <font>
      <sz val="24"/>
      <name val="Tahoma"/>
      <family val="2"/>
    </font>
    <font>
      <sz val="10"/>
      <color rgb="FFFF0000"/>
      <name val="Calibri"/>
      <family val="2"/>
    </font>
    <font>
      <sz val="10"/>
      <color rgb="FF000000"/>
      <name val="Calibri"/>
      <family val="2"/>
    </font>
    <font>
      <sz val="9"/>
      <name val="宋体"/>
      <family val="3"/>
      <charset val="134"/>
    </font>
    <font>
      <sz val="10"/>
      <name val="宋体"/>
      <family val="3"/>
      <charset val="134"/>
    </font>
    <font>
      <b/>
      <sz val="10"/>
      <name val="Opel Sans"/>
    </font>
  </fonts>
  <fills count="10">
    <fill>
      <patternFill patternType="none"/>
    </fill>
    <fill>
      <patternFill patternType="gray125"/>
    </fill>
    <fill>
      <patternFill patternType="solid">
        <fgColor rgb="FFFFC00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rgb="FFD8D8D8"/>
        <bgColor indexed="64"/>
      </patternFill>
    </fill>
    <fill>
      <patternFill patternType="solid">
        <fgColor theme="0"/>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medium">
        <color indexed="64"/>
      </left>
      <right/>
      <top style="medium">
        <color indexed="64"/>
      </top>
      <bottom style="thin">
        <color indexed="64"/>
      </bottom>
      <diagonal/>
    </border>
    <border>
      <left style="thin">
        <color auto="1"/>
      </left>
      <right style="thin">
        <color auto="1"/>
      </right>
      <top style="thin">
        <color auto="1"/>
      </top>
      <bottom style="thin">
        <color auto="1"/>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thin">
        <color indexed="64"/>
      </bottom>
      <diagonal/>
    </border>
    <border>
      <left/>
      <right/>
      <top style="thin">
        <color auto="1"/>
      </top>
      <bottom style="thin">
        <color auto="1"/>
      </bottom>
      <diagonal/>
    </border>
  </borders>
  <cellStyleXfs count="14">
    <xf numFmtId="0" fontId="0" fillId="0" borderId="0"/>
    <xf numFmtId="0" fontId="4" fillId="0" borderId="1" applyBorder="0" applyAlignment="0">
      <alignment horizontal="left" vertical="center"/>
      <protection locked="0"/>
    </xf>
    <xf numFmtId="0" fontId="3" fillId="0" borderId="0"/>
    <xf numFmtId="0" fontId="5" fillId="0" borderId="1" applyNumberFormat="0" applyFill="0" applyBorder="0" applyProtection="0">
      <alignment horizontal="center" vertical="center"/>
      <protection locked="0"/>
    </xf>
    <xf numFmtId="0" fontId="6" fillId="0" borderId="0"/>
    <xf numFmtId="0" fontId="6" fillId="0" borderId="0"/>
    <xf numFmtId="0" fontId="2" fillId="0" borderId="0"/>
    <xf numFmtId="0" fontId="2" fillId="0" borderId="0"/>
    <xf numFmtId="0" fontId="1" fillId="0" borderId="0"/>
    <xf numFmtId="165" fontId="2" fillId="0" borderId="0" applyFont="0" applyFill="0" applyBorder="0" applyAlignment="0" applyProtection="0"/>
    <xf numFmtId="0" fontId="2" fillId="0" borderId="0"/>
    <xf numFmtId="0" fontId="3" fillId="0" borderId="0"/>
    <xf numFmtId="9" fontId="2" fillId="0" borderId="0" applyFont="0" applyFill="0" applyBorder="0" applyAlignment="0" applyProtection="0"/>
    <xf numFmtId="0" fontId="1" fillId="0" borderId="0"/>
  </cellStyleXfs>
  <cellXfs count="133">
    <xf numFmtId="0" fontId="0" fillId="0" borderId="0" xfId="0"/>
    <xf numFmtId="164" fontId="8" fillId="0" borderId="0" xfId="4" applyNumberFormat="1" applyFont="1" applyFill="1" applyBorder="1" applyAlignment="1">
      <alignment horizontal="left" vertical="center" wrapText="1"/>
    </xf>
    <xf numFmtId="0" fontId="7" fillId="0" borderId="0" xfId="6" applyFont="1"/>
    <xf numFmtId="0" fontId="7" fillId="0" borderId="10" xfId="6" applyFont="1" applyBorder="1"/>
    <xf numFmtId="0" fontId="7" fillId="0" borderId="0" xfId="6" applyFont="1" applyBorder="1"/>
    <xf numFmtId="0" fontId="7" fillId="0" borderId="11" xfId="6" applyFont="1" applyBorder="1"/>
    <xf numFmtId="0" fontId="7" fillId="0" borderId="0" xfId="6" applyFont="1" applyBorder="1" applyAlignment="1">
      <alignment horizontal="center" vertical="center"/>
    </xf>
    <xf numFmtId="0" fontId="7" fillId="0" borderId="6" xfId="6" applyFont="1" applyFill="1" applyBorder="1"/>
    <xf numFmtId="0" fontId="7" fillId="0" borderId="16" xfId="6" applyFont="1" applyFill="1" applyBorder="1"/>
    <xf numFmtId="0" fontId="7" fillId="0" borderId="17" xfId="6" applyFont="1" applyFill="1" applyBorder="1"/>
    <xf numFmtId="0" fontId="9" fillId="0" borderId="0" xfId="6" applyFont="1" applyBorder="1"/>
    <xf numFmtId="0" fontId="7" fillId="0" borderId="9" xfId="6" applyFont="1" applyBorder="1"/>
    <xf numFmtId="0" fontId="7" fillId="0" borderId="7" xfId="6" applyFont="1" applyBorder="1"/>
    <xf numFmtId="0" fontId="7" fillId="0" borderId="8" xfId="6" applyFont="1" applyBorder="1"/>
    <xf numFmtId="0" fontId="18" fillId="0" borderId="10" xfId="7" applyFont="1" applyBorder="1" applyAlignment="1">
      <alignment vertical="center"/>
    </xf>
    <xf numFmtId="0" fontId="18" fillId="0" borderId="0" xfId="7" applyFont="1" applyBorder="1" applyAlignment="1">
      <alignment vertical="center"/>
    </xf>
    <xf numFmtId="0" fontId="18" fillId="0" borderId="0" xfId="7" applyFont="1" applyAlignment="1">
      <alignment vertical="center"/>
    </xf>
    <xf numFmtId="0" fontId="18" fillId="0" borderId="11" xfId="7" applyFont="1" applyBorder="1" applyAlignment="1">
      <alignment vertical="center"/>
    </xf>
    <xf numFmtId="0" fontId="7" fillId="0" borderId="0" xfId="6" applyFont="1" applyAlignment="1"/>
    <xf numFmtId="0" fontId="7" fillId="0" borderId="0" xfId="6" applyFont="1" applyFill="1" applyBorder="1"/>
    <xf numFmtId="0" fontId="7" fillId="0" borderId="20" xfId="6" applyFont="1" applyBorder="1" applyAlignment="1">
      <alignment horizontal="left" vertical="top" wrapText="1" indent="2"/>
    </xf>
    <xf numFmtId="0" fontId="7" fillId="0" borderId="21" xfId="6" applyFont="1" applyBorder="1" applyAlignment="1">
      <alignment horizontal="center" vertical="top" wrapText="1"/>
    </xf>
    <xf numFmtId="0" fontId="7" fillId="0" borderId="10" xfId="6" applyFont="1" applyBorder="1" applyAlignment="1">
      <alignment horizontal="left" vertical="top" wrapText="1" indent="2"/>
    </xf>
    <xf numFmtId="0" fontId="7" fillId="0" borderId="0" xfId="6" applyFont="1" applyAlignment="1">
      <alignment horizontal="center"/>
    </xf>
    <xf numFmtId="0" fontId="7" fillId="0" borderId="0" xfId="6" applyFont="1" applyAlignment="1">
      <alignment wrapText="1"/>
    </xf>
    <xf numFmtId="0" fontId="7" fillId="0" borderId="10" xfId="6" applyFont="1" applyBorder="1" applyAlignment="1">
      <alignment horizontal="left" vertical="top" indent="2"/>
    </xf>
    <xf numFmtId="0" fontId="7" fillId="0" borderId="8" xfId="6" applyFont="1" applyBorder="1" applyAlignment="1">
      <alignment horizontal="left" vertical="top" indent="2"/>
    </xf>
    <xf numFmtId="0" fontId="7" fillId="0" borderId="22" xfId="6" applyFont="1" applyBorder="1" applyAlignment="1">
      <alignment horizontal="center" vertical="top" wrapText="1"/>
    </xf>
    <xf numFmtId="0" fontId="8" fillId="3" borderId="2" xfId="4" applyNumberFormat="1" applyFont="1" applyFill="1" applyBorder="1" applyAlignment="1">
      <alignment horizontal="left" vertical="center" wrapText="1"/>
    </xf>
    <xf numFmtId="164" fontId="8" fillId="3" borderId="12" xfId="4" applyNumberFormat="1" applyFont="1" applyFill="1" applyBorder="1" applyAlignment="1">
      <alignment horizontal="left" vertical="center" wrapText="1"/>
    </xf>
    <xf numFmtId="0" fontId="9" fillId="0" borderId="0" xfId="6" applyFont="1" applyFill="1" applyBorder="1" applyAlignment="1">
      <alignment horizontal="right" vertical="center" wrapText="1" indent="2"/>
    </xf>
    <xf numFmtId="0" fontId="21" fillId="4" borderId="18" xfId="6" applyFont="1" applyFill="1" applyBorder="1" applyAlignment="1">
      <alignment horizontal="left" vertical="center" wrapText="1" indent="1"/>
    </xf>
    <xf numFmtId="0" fontId="21" fillId="4" borderId="21" xfId="6" applyFont="1" applyFill="1" applyBorder="1" applyAlignment="1">
      <alignment horizontal="center" vertical="center" wrapText="1"/>
    </xf>
    <xf numFmtId="0" fontId="9" fillId="0" borderId="10" xfId="6" applyFont="1" applyBorder="1" applyAlignment="1">
      <alignment horizontal="left" vertical="top" indent="2"/>
    </xf>
    <xf numFmtId="0" fontId="9" fillId="0" borderId="23" xfId="6" applyFont="1" applyBorder="1" applyAlignment="1">
      <alignment horizontal="center" vertical="top" wrapText="1"/>
    </xf>
    <xf numFmtId="0" fontId="9" fillId="0" borderId="24" xfId="6" applyFont="1" applyBorder="1" applyAlignment="1">
      <alignment horizontal="center" vertical="top" wrapText="1"/>
    </xf>
    <xf numFmtId="0" fontId="15" fillId="0" borderId="0" xfId="6" applyFont="1" applyFill="1"/>
    <xf numFmtId="0" fontId="17" fillId="0" borderId="0" xfId="6" applyFont="1" applyFill="1" applyBorder="1" applyAlignment="1">
      <alignment horizontal="left" vertical="center" wrapText="1"/>
    </xf>
    <xf numFmtId="0" fontId="22" fillId="0" borderId="0" xfId="6" applyFont="1" applyFill="1" applyBorder="1" applyAlignment="1">
      <alignment horizontal="left" vertical="center" wrapText="1"/>
    </xf>
    <xf numFmtId="0" fontId="21" fillId="4" borderId="18" xfId="6" applyFont="1" applyFill="1" applyBorder="1" applyAlignment="1">
      <alignment horizontal="right" vertical="center" wrapText="1" indent="1"/>
    </xf>
    <xf numFmtId="0" fontId="11" fillId="0" borderId="0" xfId="6" applyFont="1" applyBorder="1"/>
    <xf numFmtId="0" fontId="7" fillId="0" borderId="0" xfId="6" applyFont="1" applyBorder="1" applyAlignment="1">
      <alignment horizontal="center" vertical="center" wrapText="1"/>
    </xf>
    <xf numFmtId="0" fontId="7" fillId="6" borderId="0" xfId="6" applyFont="1" applyFill="1" applyBorder="1" applyAlignment="1">
      <alignment horizontal="center" vertical="center"/>
    </xf>
    <xf numFmtId="0" fontId="7" fillId="5" borderId="0" xfId="6" applyFont="1" applyFill="1" applyBorder="1" applyAlignment="1">
      <alignment horizontal="center" vertical="center"/>
    </xf>
    <xf numFmtId="0" fontId="7" fillId="7" borderId="0" xfId="6" applyFont="1" applyFill="1" applyBorder="1" applyAlignment="1">
      <alignment horizontal="center" vertical="center"/>
    </xf>
    <xf numFmtId="0" fontId="7" fillId="0" borderId="11" xfId="6" applyFont="1" applyBorder="1" applyAlignment="1"/>
    <xf numFmtId="0" fontId="7" fillId="0" borderId="19" xfId="6" applyFont="1" applyFill="1" applyBorder="1"/>
    <xf numFmtId="0" fontId="0" fillId="0" borderId="0" xfId="0" applyAlignment="1">
      <alignment vertical="center"/>
    </xf>
    <xf numFmtId="0" fontId="31" fillId="0" borderId="0" xfId="0" applyFont="1"/>
    <xf numFmtId="0" fontId="32" fillId="0" borderId="0" xfId="0" applyFont="1" applyAlignment="1">
      <alignment vertical="center"/>
    </xf>
    <xf numFmtId="0" fontId="32" fillId="8" borderId="19" xfId="0" applyFont="1" applyFill="1" applyBorder="1" applyAlignment="1">
      <alignment vertical="center" wrapText="1"/>
    </xf>
    <xf numFmtId="0" fontId="32" fillId="8" borderId="19" xfId="0" applyFont="1" applyFill="1" applyBorder="1" applyAlignment="1">
      <alignment vertical="center"/>
    </xf>
    <xf numFmtId="0" fontId="31" fillId="0" borderId="19" xfId="0" applyFont="1" applyBorder="1" applyAlignment="1">
      <alignment vertical="center"/>
    </xf>
    <xf numFmtId="0" fontId="31" fillId="0" borderId="19" xfId="0" applyFont="1" applyBorder="1" applyAlignment="1">
      <alignment vertical="center" wrapText="1"/>
    </xf>
    <xf numFmtId="0" fontId="31" fillId="0" borderId="19" xfId="0" applyFont="1" applyBorder="1"/>
    <xf numFmtId="0" fontId="0" fillId="0" borderId="19" xfId="0" applyBorder="1"/>
    <xf numFmtId="0" fontId="31" fillId="6" borderId="19" xfId="0" applyFont="1" applyFill="1" applyBorder="1" applyAlignment="1">
      <alignment horizontal="center" vertical="center"/>
    </xf>
    <xf numFmtId="0" fontId="31" fillId="5" borderId="19" xfId="0" applyFont="1" applyFill="1" applyBorder="1" applyAlignment="1">
      <alignment horizontal="center" vertical="center"/>
    </xf>
    <xf numFmtId="0" fontId="31" fillId="0" borderId="19" xfId="0" applyFont="1" applyBorder="1" applyAlignment="1">
      <alignment horizontal="left" wrapText="1"/>
    </xf>
    <xf numFmtId="0" fontId="0" fillId="0" borderId="19" xfId="0" applyBorder="1" applyAlignment="1">
      <alignment horizontal="left" wrapText="1"/>
    </xf>
    <xf numFmtId="0" fontId="0" fillId="9" borderId="0" xfId="0" applyFill="1"/>
    <xf numFmtId="0" fontId="25" fillId="9" borderId="0" xfId="0" applyFont="1" applyFill="1"/>
    <xf numFmtId="0" fontId="25" fillId="9" borderId="0" xfId="0" applyFont="1" applyFill="1" applyAlignment="1">
      <alignment vertical="top"/>
    </xf>
    <xf numFmtId="0" fontId="26" fillId="9" borderId="0" xfId="0" applyFont="1" applyFill="1" applyAlignment="1">
      <alignment horizontal="center" vertical="center"/>
    </xf>
    <xf numFmtId="0" fontId="28" fillId="9" borderId="0" xfId="0" applyFont="1" applyFill="1"/>
    <xf numFmtId="0" fontId="26" fillId="9" borderId="0" xfId="0" applyFont="1" applyFill="1" applyAlignment="1">
      <alignment vertical="center"/>
    </xf>
    <xf numFmtId="0" fontId="27" fillId="9" borderId="0" xfId="0" applyNumberFormat="1" applyFont="1" applyFill="1" applyAlignment="1">
      <alignment horizontal="center"/>
    </xf>
    <xf numFmtId="0" fontId="27" fillId="9" borderId="0" xfId="0" applyFont="1" applyFill="1"/>
    <xf numFmtId="0" fontId="0" fillId="9" borderId="0" xfId="0" applyFill="1" applyAlignment="1">
      <alignment vertical="center"/>
    </xf>
    <xf numFmtId="0" fontId="27" fillId="9" borderId="0" xfId="0" applyFont="1" applyFill="1" applyAlignment="1">
      <alignment horizontal="center" vertical="center"/>
    </xf>
    <xf numFmtId="0" fontId="30" fillId="9" borderId="0" xfId="0" applyFont="1" applyFill="1" applyAlignment="1">
      <alignment horizontal="center"/>
    </xf>
    <xf numFmtId="0" fontId="0" fillId="9" borderId="0" xfId="0" applyFont="1" applyFill="1"/>
    <xf numFmtId="0" fontId="28" fillId="9" borderId="0" xfId="0" applyFont="1" applyFill="1" applyBorder="1" applyAlignment="1">
      <alignment vertical="top" wrapText="1"/>
    </xf>
    <xf numFmtId="0" fontId="30" fillId="9" borderId="0" xfId="0" applyFont="1" applyFill="1" applyBorder="1" applyAlignment="1">
      <alignment horizontal="center" vertical="center" wrapText="1"/>
    </xf>
    <xf numFmtId="0" fontId="27" fillId="9" borderId="0" xfId="0" applyFont="1" applyFill="1" applyBorder="1" applyAlignment="1">
      <alignment vertical="top" wrapText="1"/>
    </xf>
    <xf numFmtId="0" fontId="30" fillId="9" borderId="0" xfId="0" applyFont="1" applyFill="1" applyBorder="1" applyAlignment="1">
      <alignment horizontal="center" vertical="top" wrapText="1"/>
    </xf>
    <xf numFmtId="14" fontId="30" fillId="9" borderId="0" xfId="0" applyNumberFormat="1" applyFont="1" applyFill="1" applyBorder="1" applyAlignment="1">
      <alignment vertical="top" wrapText="1"/>
    </xf>
    <xf numFmtId="0" fontId="0" fillId="9" borderId="0" xfId="0" applyFont="1" applyFill="1" applyBorder="1" applyAlignment="1">
      <alignment vertical="top" wrapText="1"/>
    </xf>
    <xf numFmtId="0" fontId="0" fillId="9" borderId="0" xfId="0" applyFont="1" applyFill="1" applyAlignment="1">
      <alignment horizontal="left"/>
    </xf>
    <xf numFmtId="0" fontId="33" fillId="9" borderId="19" xfId="0" applyFont="1" applyFill="1" applyBorder="1" applyAlignment="1">
      <alignment vertical="center"/>
    </xf>
    <xf numFmtId="0" fontId="32" fillId="9" borderId="0" xfId="0" applyFont="1" applyFill="1" applyAlignment="1">
      <alignment vertical="center"/>
    </xf>
    <xf numFmtId="0" fontId="31" fillId="9" borderId="0" xfId="0" applyFont="1" applyFill="1"/>
    <xf numFmtId="0" fontId="31" fillId="0" borderId="19" xfId="0" applyFont="1" applyBorder="1" applyAlignment="1">
      <alignment wrapText="1"/>
    </xf>
    <xf numFmtId="0" fontId="31" fillId="7" borderId="19" xfId="0" applyFont="1" applyFill="1" applyBorder="1" applyAlignment="1">
      <alignment horizontal="center" vertical="center"/>
    </xf>
    <xf numFmtId="0" fontId="32" fillId="8" borderId="19" xfId="0" applyFont="1" applyFill="1" applyBorder="1" applyAlignment="1">
      <alignment horizontal="center" vertical="center" wrapText="1"/>
    </xf>
    <xf numFmtId="14" fontId="31" fillId="0" borderId="19" xfId="0" applyNumberFormat="1" applyFont="1" applyBorder="1" applyAlignment="1">
      <alignment horizontal="left" wrapText="1"/>
    </xf>
    <xf numFmtId="14" fontId="31" fillId="0" borderId="26" xfId="0" applyNumberFormat="1" applyFont="1" applyBorder="1" applyAlignment="1">
      <alignment horizontal="left" wrapText="1"/>
    </xf>
    <xf numFmtId="0" fontId="36" fillId="9" borderId="0" xfId="0" applyFont="1" applyFill="1" applyAlignment="1">
      <alignment horizontal="right"/>
    </xf>
    <xf numFmtId="0" fontId="0" fillId="9" borderId="0" xfId="0" applyFill="1" applyAlignment="1">
      <alignment horizontal="center"/>
    </xf>
    <xf numFmtId="0" fontId="0" fillId="9" borderId="0" xfId="0" applyFill="1" applyAlignment="1"/>
    <xf numFmtId="0" fontId="0" fillId="9" borderId="27" xfId="0" applyFill="1" applyBorder="1" applyAlignment="1"/>
    <xf numFmtId="0" fontId="0" fillId="0" borderId="19" xfId="0" applyBorder="1" applyAlignment="1">
      <alignment horizontal="left" wrapText="1"/>
    </xf>
    <xf numFmtId="0" fontId="0" fillId="0" borderId="19" xfId="0" applyBorder="1" applyAlignment="1">
      <alignment wrapText="1"/>
    </xf>
    <xf numFmtId="14" fontId="0" fillId="0" borderId="19" xfId="0" applyNumberFormat="1" applyBorder="1" applyAlignment="1">
      <alignment horizontal="left" wrapText="1"/>
    </xf>
    <xf numFmtId="0" fontId="0" fillId="0" borderId="19" xfId="0" applyBorder="1" applyAlignment="1">
      <alignment horizontal="left" wrapText="1"/>
    </xf>
    <xf numFmtId="0" fontId="10" fillId="0" borderId="14" xfId="6" applyFont="1" applyFill="1" applyBorder="1" applyAlignment="1">
      <alignment horizontal="left" vertical="center" wrapText="1"/>
    </xf>
    <xf numFmtId="0" fontId="10" fillId="0" borderId="14" xfId="0" applyFont="1" applyBorder="1" applyAlignment="1">
      <alignment horizontal="left" vertical="center" wrapText="1"/>
    </xf>
    <xf numFmtId="0" fontId="12" fillId="2" borderId="3" xfId="6" applyFont="1" applyFill="1" applyBorder="1" applyAlignment="1">
      <alignment horizontal="left" wrapText="1"/>
    </xf>
    <xf numFmtId="0" fontId="20" fillId="2" borderId="4" xfId="6" applyFont="1" applyFill="1" applyBorder="1" applyAlignment="1">
      <alignment horizontal="left" wrapText="1"/>
    </xf>
    <xf numFmtId="0" fontId="32" fillId="8" borderId="19" xfId="0" applyFont="1" applyFill="1" applyBorder="1" applyAlignment="1">
      <alignment horizontal="center" vertical="center"/>
    </xf>
    <xf numFmtId="0" fontId="33" fillId="9" borderId="19" xfId="0" applyFont="1" applyFill="1" applyBorder="1" applyAlignment="1">
      <alignment horizontal="left" vertical="top"/>
    </xf>
    <xf numFmtId="0" fontId="33" fillId="9" borderId="19" xfId="0" applyFont="1" applyFill="1" applyBorder="1" applyAlignment="1">
      <alignment horizontal="left" vertical="center"/>
    </xf>
    <xf numFmtId="0" fontId="35" fillId="0" borderId="19" xfId="0" applyFont="1" applyBorder="1" applyAlignment="1">
      <alignment horizontal="left" vertical="center" wrapText="1"/>
    </xf>
    <xf numFmtId="0" fontId="31" fillId="0" borderId="19" xfId="0" applyFont="1" applyBorder="1" applyAlignment="1">
      <alignment horizontal="left" wrapText="1"/>
    </xf>
    <xf numFmtId="0" fontId="31" fillId="0" borderId="25" xfId="0" applyFont="1" applyBorder="1" applyAlignment="1">
      <alignment horizontal="left" wrapText="1"/>
    </xf>
    <xf numFmtId="0" fontId="31" fillId="0" borderId="26" xfId="0" applyFont="1" applyBorder="1" applyAlignment="1">
      <alignment horizontal="left" wrapText="1"/>
    </xf>
    <xf numFmtId="0" fontId="31" fillId="0" borderId="19" xfId="0" applyFont="1" applyBorder="1" applyAlignment="1">
      <alignment horizontal="left" vertical="center" wrapText="1"/>
    </xf>
    <xf numFmtId="0" fontId="0" fillId="0" borderId="19" xfId="0" applyBorder="1" applyAlignment="1">
      <alignment horizontal="left" wrapText="1"/>
    </xf>
    <xf numFmtId="0" fontId="28" fillId="9" borderId="0" xfId="0" applyFont="1" applyFill="1" applyBorder="1" applyAlignment="1">
      <alignment horizontal="left" vertical="top" wrapText="1"/>
    </xf>
    <xf numFmtId="0" fontId="30" fillId="9" borderId="0" xfId="0" applyFont="1" applyFill="1" applyAlignment="1">
      <alignment horizontal="left"/>
    </xf>
    <xf numFmtId="0" fontId="29" fillId="9" borderId="0" xfId="0" applyFont="1" applyFill="1" applyAlignment="1">
      <alignment horizontal="left"/>
    </xf>
    <xf numFmtId="0" fontId="30" fillId="9" borderId="19" xfId="0" applyFont="1" applyFill="1" applyBorder="1" applyAlignment="1">
      <alignment horizontal="left" vertical="top"/>
    </xf>
    <xf numFmtId="0" fontId="30" fillId="9" borderId="19" xfId="0" applyFont="1" applyFill="1" applyBorder="1" applyAlignment="1">
      <alignment horizontal="left" vertical="center"/>
    </xf>
    <xf numFmtId="14" fontId="30" fillId="9" borderId="19" xfId="0" applyNumberFormat="1" applyFont="1" applyFill="1" applyBorder="1" applyAlignment="1">
      <alignment horizontal="left" vertical="center"/>
    </xf>
    <xf numFmtId="14" fontId="30" fillId="9" borderId="25" xfId="0" applyNumberFormat="1" applyFont="1" applyFill="1" applyBorder="1" applyAlignment="1">
      <alignment horizontal="left" vertical="center"/>
    </xf>
    <xf numFmtId="14" fontId="30" fillId="9" borderId="28" xfId="0" applyNumberFormat="1" applyFont="1" applyFill="1" applyBorder="1" applyAlignment="1">
      <alignment horizontal="left" vertical="center"/>
    </xf>
    <xf numFmtId="14" fontId="30" fillId="9" borderId="26" xfId="0" applyNumberFormat="1" applyFont="1" applyFill="1" applyBorder="1" applyAlignment="1">
      <alignment horizontal="left" vertical="center"/>
    </xf>
    <xf numFmtId="0" fontId="33" fillId="9" borderId="25" xfId="0" applyFont="1" applyFill="1" applyBorder="1" applyAlignment="1">
      <alignment horizontal="center" vertical="center"/>
    </xf>
    <xf numFmtId="0" fontId="33" fillId="9" borderId="28" xfId="0" applyFont="1" applyFill="1" applyBorder="1" applyAlignment="1">
      <alignment horizontal="center" vertical="center"/>
    </xf>
    <xf numFmtId="0" fontId="33" fillId="9" borderId="26" xfId="0" applyFont="1" applyFill="1" applyBorder="1" applyAlignment="1">
      <alignment horizontal="center" vertical="center"/>
    </xf>
    <xf numFmtId="0" fontId="11" fillId="0" borderId="0" xfId="6" applyFont="1" applyBorder="1" applyAlignment="1">
      <alignment horizontal="center" vertical="center"/>
    </xf>
    <xf numFmtId="0" fontId="34" fillId="0" borderId="3" xfId="6" applyFont="1" applyFill="1" applyBorder="1" applyAlignment="1">
      <alignment horizontal="center"/>
    </xf>
    <xf numFmtId="0" fontId="34" fillId="0" borderId="4" xfId="0" applyFont="1" applyFill="1" applyBorder="1" applyAlignment="1">
      <alignment horizontal="center"/>
    </xf>
    <xf numFmtId="0" fontId="34" fillId="0" borderId="5" xfId="0" applyFont="1" applyFill="1" applyBorder="1" applyAlignment="1">
      <alignment horizontal="center"/>
    </xf>
    <xf numFmtId="0" fontId="9" fillId="0" borderId="0" xfId="6" applyFont="1" applyBorder="1" applyAlignment="1">
      <alignment horizontal="center"/>
    </xf>
    <xf numFmtId="0" fontId="11" fillId="0" borderId="0" xfId="6" applyFont="1" applyBorder="1" applyAlignment="1">
      <alignment horizontal="center" vertical="center" textRotation="90"/>
    </xf>
    <xf numFmtId="0" fontId="11" fillId="0" borderId="11" xfId="6" applyFont="1" applyBorder="1" applyAlignment="1">
      <alignment horizontal="center" vertical="center" textRotation="90"/>
    </xf>
    <xf numFmtId="0" fontId="13" fillId="0" borderId="13" xfId="7" applyFont="1" applyBorder="1" applyAlignment="1">
      <alignment vertical="center" wrapText="1"/>
    </xf>
    <xf numFmtId="0" fontId="0" fillId="0" borderId="14" xfId="0" applyBorder="1" applyAlignment="1">
      <alignment vertical="center"/>
    </xf>
    <xf numFmtId="0" fontId="0" fillId="0" borderId="15" xfId="0" applyBorder="1" applyAlignment="1">
      <alignment vertical="center"/>
    </xf>
    <xf numFmtId="0" fontId="31" fillId="7" borderId="19" xfId="0" applyFont="1" applyFill="1" applyBorder="1"/>
    <xf numFmtId="0" fontId="0" fillId="7" borderId="19" xfId="0" applyFill="1" applyBorder="1"/>
    <xf numFmtId="0" fontId="0" fillId="6" borderId="19" xfId="0" applyFill="1" applyBorder="1" applyAlignment="1">
      <alignment horizontal="center" vertical="center"/>
    </xf>
  </cellXfs>
  <cellStyles count="14">
    <cellStyle name="Comma 2" xfId="9"/>
    <cellStyle name="Normal" xfId="0" builtinId="0"/>
    <cellStyle name="Normal 10pt" xfId="1"/>
    <cellStyle name="Normal 2" xfId="6"/>
    <cellStyle name="Normal 2 10" xfId="10"/>
    <cellStyle name="Normal 2 2" xfId="13"/>
    <cellStyle name="Normal 3" xfId="5"/>
    <cellStyle name="Normal 4" xfId="11"/>
    <cellStyle name="Normal 5" xfId="8"/>
    <cellStyle name="Normal_DFMEA From GME" xfId="4"/>
    <cellStyle name="Normal_DFMEA ranking scale_1 2" xfId="7"/>
    <cellStyle name="Percent 2" xfId="12"/>
    <cellStyle name="Standard_~3467343" xfId="2"/>
    <cellStyle name="Star" xfId="3"/>
  </cellStyles>
  <dxfs count="3">
    <dxf>
      <font>
        <color rgb="FFFF0000"/>
      </font>
      <fill>
        <patternFill>
          <bgColor rgb="FFFF0000"/>
        </patternFill>
      </fill>
    </dxf>
    <dxf>
      <font>
        <color rgb="FFFFFF00"/>
        <name val="Cambria"/>
        <scheme val="none"/>
      </font>
      <fill>
        <patternFill>
          <bgColor rgb="FFFFFF00"/>
        </patternFill>
      </fill>
    </dxf>
    <dxf>
      <font>
        <color rgb="FF00B050"/>
      </font>
      <fill>
        <patternFill>
          <bgColor rgb="FF00B05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EAEAEA"/>
      <rgbColor rgb="00808080"/>
      <rgbColor rgb="00E3EEF5"/>
      <rgbColor rgb="00FFFFFF"/>
      <rgbColor rgb="00FFFFE9"/>
      <rgbColor rgb="00D5F1FF"/>
      <rgbColor rgb="006496FF"/>
      <rgbColor rgb="00C8EBFF"/>
      <rgbColor rgb="00FFFFC8"/>
      <rgbColor rgb="00FFCDC8"/>
      <rgbColor rgb="00E7FAFD"/>
      <rgbColor rgb="00FBECD9"/>
      <rgbColor rgb="00F0F0F0"/>
      <rgbColor rgb="00D4F4F0"/>
      <rgbColor rgb="00B4EBEB"/>
      <rgbColor rgb="00FFEBB9"/>
      <rgbColor rgb="00D4F4F0"/>
      <rgbColor rgb="00FFFF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C0C0C0"/>
      <rgbColor rgb="00003366"/>
      <rgbColor rgb="00339966"/>
      <rgbColor rgb="00003300"/>
      <rgbColor rgb="00333300"/>
      <rgbColor rgb="00993300"/>
      <rgbColor rgb="00993366"/>
      <rgbColor rgb="00333399"/>
      <rgbColor rgb="00333333"/>
    </indexedColors>
    <mruColors>
      <color rgb="FFD8D8D8"/>
      <color rgb="FFFFFFCC"/>
      <color rgb="FFF2F2F2"/>
      <color rgb="FFFFFFFF"/>
      <color rgb="FF00FF00"/>
      <color rgb="FFFFC000"/>
      <color rgb="FFFF9900"/>
      <color rgb="FFCCECFF"/>
      <color rgb="FFDBE5F1"/>
      <color rgb="FFE7A65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wmf"/></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1143000</xdr:colOff>
      <xdr:row>11</xdr:row>
      <xdr:rowOff>38100</xdr:rowOff>
    </xdr:from>
    <xdr:to>
      <xdr:col>0</xdr:col>
      <xdr:colOff>1323975</xdr:colOff>
      <xdr:row>11</xdr:row>
      <xdr:rowOff>219075</xdr:rowOff>
    </xdr:to>
    <xdr:sp macro="" textlink="">
      <xdr:nvSpPr>
        <xdr:cNvPr id="3" name="Rectangle 30"/>
        <xdr:cNvSpPr>
          <a:spLocks noChangeArrowheads="1"/>
        </xdr:cNvSpPr>
      </xdr:nvSpPr>
      <xdr:spPr bwMode="auto">
        <a:xfrm>
          <a:off x="590550" y="1333500"/>
          <a:ext cx="0" cy="123825"/>
        </a:xfrm>
        <a:prstGeom prst="rect">
          <a:avLst/>
        </a:prstGeom>
        <a:solidFill>
          <a:srgbClr val="FFFFFF"/>
        </a:solidFill>
        <a:ln w="19050">
          <a:solidFill>
            <a:srgbClr val="000000"/>
          </a:solidFill>
          <a:miter lim="800000"/>
          <a:headEnd/>
          <a:tailEnd/>
        </a:ln>
      </xdr:spPr>
      <xdr:txBody>
        <a:bodyPr anchor="ctr"/>
        <a:lstStyle/>
        <a:p>
          <a:pPr algn="ctr"/>
          <a:endParaRPr lang="sv-SE"/>
        </a:p>
      </xdr:txBody>
    </xdr:sp>
    <xdr:clientData/>
  </xdr:twoCellAnchor>
  <xdr:twoCellAnchor>
    <xdr:from>
      <xdr:col>0</xdr:col>
      <xdr:colOff>1143000</xdr:colOff>
      <xdr:row>9</xdr:row>
      <xdr:rowOff>38100</xdr:rowOff>
    </xdr:from>
    <xdr:to>
      <xdr:col>0</xdr:col>
      <xdr:colOff>1323975</xdr:colOff>
      <xdr:row>9</xdr:row>
      <xdr:rowOff>219075</xdr:rowOff>
    </xdr:to>
    <xdr:sp macro="" textlink="">
      <xdr:nvSpPr>
        <xdr:cNvPr id="4" name="Rectangle 33"/>
        <xdr:cNvSpPr>
          <a:spLocks noChangeArrowheads="1"/>
        </xdr:cNvSpPr>
      </xdr:nvSpPr>
      <xdr:spPr bwMode="auto">
        <a:xfrm>
          <a:off x="590550" y="1009650"/>
          <a:ext cx="0" cy="123825"/>
        </a:xfrm>
        <a:prstGeom prst="rect">
          <a:avLst/>
        </a:prstGeom>
        <a:solidFill>
          <a:srgbClr val="FFFFFF"/>
        </a:solidFill>
        <a:ln w="19050">
          <a:solidFill>
            <a:srgbClr val="000000"/>
          </a:solidFill>
          <a:miter lim="800000"/>
          <a:headEnd/>
          <a:tailEnd/>
        </a:ln>
      </xdr:spPr>
      <xdr:txBody>
        <a:bodyPr anchor="ctr"/>
        <a:lstStyle/>
        <a:p>
          <a:pPr algn="ctr"/>
          <a:endParaRPr lang="sv-SE"/>
        </a:p>
      </xdr:txBody>
    </xdr:sp>
    <xdr:clientData/>
  </xdr:twoCellAnchor>
  <xdr:twoCellAnchor>
    <xdr:from>
      <xdr:col>0</xdr:col>
      <xdr:colOff>9525</xdr:colOff>
      <xdr:row>0</xdr:row>
      <xdr:rowOff>9525</xdr:rowOff>
    </xdr:from>
    <xdr:to>
      <xdr:col>0</xdr:col>
      <xdr:colOff>552450</xdr:colOff>
      <xdr:row>0</xdr:row>
      <xdr:rowOff>542925</xdr:rowOff>
    </xdr:to>
    <xdr:pic>
      <xdr:nvPicPr>
        <xdr:cNvPr id="6" name="Picture 12"/>
        <xdr:cNvPicPr>
          <a:picLocks noChangeAspect="1" noChangeArrowheads="1"/>
        </xdr:cNvPicPr>
      </xdr:nvPicPr>
      <xdr:blipFill>
        <a:blip xmlns:r="http://schemas.openxmlformats.org/officeDocument/2006/relationships" r:embed="rId1" cstate="print"/>
        <a:srcRect/>
        <a:stretch>
          <a:fillRect/>
        </a:stretch>
      </xdr:blipFill>
      <xdr:spPr bwMode="auto">
        <a:xfrm>
          <a:off x="9525" y="9525"/>
          <a:ext cx="542925" cy="533400"/>
        </a:xfrm>
        <a:prstGeom prst="rect">
          <a:avLst/>
        </a:prstGeom>
        <a:solidFill>
          <a:schemeClr val="bg1"/>
        </a:solid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47625</xdr:colOff>
      <xdr:row>0</xdr:row>
      <xdr:rowOff>95249</xdr:rowOff>
    </xdr:from>
    <xdr:to>
      <xdr:col>6</xdr:col>
      <xdr:colOff>83344</xdr:colOff>
      <xdr:row>5</xdr:row>
      <xdr:rowOff>95250</xdr:rowOff>
    </xdr:to>
    <xdr:pic>
      <xdr:nvPicPr>
        <xdr:cNvPr id="2"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95249"/>
          <a:ext cx="4505326" cy="81915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5</xdr:row>
      <xdr:rowOff>238125</xdr:rowOff>
    </xdr:from>
    <xdr:to>
      <xdr:col>1</xdr:col>
      <xdr:colOff>238125</xdr:colOff>
      <xdr:row>10</xdr:row>
      <xdr:rowOff>228600</xdr:rowOff>
    </xdr:to>
    <xdr:sp macro="" textlink="">
      <xdr:nvSpPr>
        <xdr:cNvPr id="2" name="textruta 1"/>
        <xdr:cNvSpPr txBox="1"/>
      </xdr:nvSpPr>
      <xdr:spPr>
        <a:xfrm>
          <a:off x="247650" y="1038225"/>
          <a:ext cx="238125"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ctr"/>
          <a:r>
            <a:rPr lang="en-US" sz="1100" b="0">
              <a:latin typeface="Tahoma" panose="020B0604030504040204" pitchFamily="34" charset="0"/>
              <a:ea typeface="Tahoma" panose="020B0604030504040204" pitchFamily="34" charset="0"/>
              <a:cs typeface="Tahoma" panose="020B0604030504040204" pitchFamily="34" charset="0"/>
            </a:rPr>
            <a:t>Likelihood</a:t>
          </a:r>
        </a:p>
      </xdr:txBody>
    </xdr:sp>
    <xdr:clientData/>
  </xdr:twoCellAnchor>
  <xdr:twoCellAnchor editAs="oneCell">
    <xdr:from>
      <xdr:col>0</xdr:col>
      <xdr:colOff>19050</xdr:colOff>
      <xdr:row>0</xdr:row>
      <xdr:rowOff>38100</xdr:rowOff>
    </xdr:from>
    <xdr:to>
      <xdr:col>4</xdr:col>
      <xdr:colOff>523876</xdr:colOff>
      <xdr:row>0</xdr:row>
      <xdr:rowOff>567021</xdr:rowOff>
    </xdr:to>
    <xdr:pic>
      <xdr:nvPicPr>
        <xdr:cNvPr id="3"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38100"/>
          <a:ext cx="2457451" cy="52892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lzj5r2/Application%20Data/Microsoft/Excel/PreviousWorkWithTemplate/FMEA%20KCDS%20Template_1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powertrain.gm.com/TEMP/TEMP/3-05/EXAMPLE.FP"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TEMP/TEMP/3-05/EXAMPLE.F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ME~1/qz83nc/LOCALS~1/Temp/H.Notes.Data/~3250374.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Control"/>
      <sheetName val="Block Template"/>
      <sheetName val="Master Data0"/>
      <sheetName val="MasterData"/>
      <sheetName val="Team"/>
      <sheetName val="Block"/>
      <sheetName val="Inputs"/>
      <sheetName val="Outputs"/>
      <sheetName val="Picture"/>
      <sheetName val="Research"/>
      <sheetName val="Matrix"/>
      <sheetName val="FMEA"/>
      <sheetName val="DRBFM"/>
      <sheetName val="KCDS AQC"/>
      <sheetName val="KCDS"/>
      <sheetName val="SignOff"/>
      <sheetName val="Notes"/>
      <sheetName val="Scales"/>
      <sheetName val="Risk_Graphs"/>
      <sheetName val="KCDS workshop bring info"/>
      <sheetName val="KCDS Qs"/>
      <sheetName val="Definition of Change Point's"/>
      <sheetName val="Judgment Words"/>
      <sheetName val="Sheet1"/>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MEA"/>
    </sheetNames>
    <sheetDataSet>
      <sheetData sheetId="0">
        <row r="4">
          <cell r="A4" t="str">
            <v>Line</v>
          </cell>
          <cell r="B4" t="str">
            <v>Function</v>
          </cell>
          <cell r="C4" t="str">
            <v>Failure Mode</v>
          </cell>
          <cell r="D4" t="str">
            <v>Effect</v>
          </cell>
          <cell r="E4" t="str">
            <v>SEV</v>
          </cell>
          <cell r="F4" t="str">
            <v>Class</v>
          </cell>
          <cell r="G4" t="str">
            <v>Cause</v>
          </cell>
          <cell r="H4" t="str">
            <v>OCC</v>
          </cell>
          <cell r="I4" t="str">
            <v>Controls</v>
          </cell>
          <cell r="J4" t="str">
            <v>DET</v>
          </cell>
          <cell r="K4" t="str">
            <v>RPN</v>
          </cell>
          <cell r="L4" t="str">
            <v>Action</v>
          </cell>
          <cell r="M4" t="str">
            <v>Resp</v>
          </cell>
          <cell r="N4" t="str">
            <v>CompDate</v>
          </cell>
          <cell r="O4" t="str">
            <v>Actions Taken</v>
          </cell>
          <cell r="P4" t="str">
            <v>New SEV</v>
          </cell>
          <cell r="Q4" t="str">
            <v>New OCC</v>
          </cell>
          <cell r="R4" t="str">
            <v>New DET</v>
          </cell>
          <cell r="S4" t="str">
            <v>New RPN</v>
          </cell>
          <cell r="U4" t="str">
            <v>TEXT1</v>
          </cell>
          <cell r="V4" t="str">
            <v>TEXT2</v>
          </cell>
          <cell r="W4" t="str">
            <v>TEXT3</v>
          </cell>
          <cell r="X4" t="str">
            <v>TEXT4</v>
          </cell>
          <cell r="Y4" t="str">
            <v>TEXT5</v>
          </cell>
          <cell r="Z4" t="str">
            <v>TEXT6</v>
          </cell>
          <cell r="AA4" t="str">
            <v>TEXT7</v>
          </cell>
          <cell r="AB4" t="str">
            <v>TEXT8</v>
          </cell>
          <cell r="AC4" t="str">
            <v>TEXT9</v>
          </cell>
          <cell r="AD4" t="str">
            <v>TEXT10</v>
          </cell>
        </row>
        <row r="5">
          <cell r="A5">
            <v>1</v>
          </cell>
          <cell r="B5" t="str">
            <v>1.0 ContainerHolds specific amount of liquid (Soap)</v>
          </cell>
          <cell r="C5" t="str">
            <v>1.1 Leaks</v>
          </cell>
          <cell r="D5" t="str">
            <v>1.1.1 Loss of liquid (8)</v>
          </cell>
          <cell r="E5">
            <v>8</v>
          </cell>
          <cell r="G5" t="str">
            <v>1.1.A Shock/Impact</v>
          </cell>
          <cell r="H5">
            <v>2</v>
          </cell>
          <cell r="I5" t="str">
            <v>M-101,Drop Test (6)M-102,Compression Test (4) M-103,Thermal Cycle w/Drop testing (4)</v>
          </cell>
          <cell r="J5">
            <v>4</v>
          </cell>
          <cell r="K5">
            <v>64</v>
          </cell>
          <cell r="L5" t="str">
            <v>Develop better Drop Test.</v>
          </cell>
          <cell r="M5" t="str">
            <v>R/T Eng..Oct 31, 93</v>
          </cell>
          <cell r="O5" t="str">
            <v>Test M-101.1</v>
          </cell>
          <cell r="P5">
            <v>8</v>
          </cell>
          <cell r="Q5">
            <v>2</v>
          </cell>
          <cell r="R5">
            <v>1</v>
          </cell>
          <cell r="S5">
            <v>16</v>
          </cell>
          <cell r="U5">
            <v>6.6670000000000002E-3</v>
          </cell>
          <cell r="V5">
            <v>6.6670000000000002E-3</v>
          </cell>
          <cell r="W5">
            <v>0</v>
          </cell>
        </row>
        <row r="6">
          <cell r="A6">
            <v>2</v>
          </cell>
          <cell r="B6" t="str">
            <v>1.0 ContainerHolds specific amount of liquid (Soap)</v>
          </cell>
          <cell r="C6" t="str">
            <v>1.1 Leaks</v>
          </cell>
          <cell r="D6" t="str">
            <v>1.1.1 Loss of liquid (8)</v>
          </cell>
          <cell r="E6">
            <v>8</v>
          </cell>
          <cell r="G6" t="str">
            <v>1.1.B Chemical incompatibility</v>
          </cell>
          <cell r="H6">
            <v>1</v>
          </cell>
          <cell r="I6" t="str">
            <v>CT-Chemical Interaction Testing (1)</v>
          </cell>
          <cell r="J6">
            <v>1</v>
          </cell>
          <cell r="K6">
            <v>8</v>
          </cell>
          <cell r="L6" t="str">
            <v>None</v>
          </cell>
          <cell r="M6" t="str">
            <v>Bob Stefanick</v>
          </cell>
          <cell r="S6">
            <v>0</v>
          </cell>
          <cell r="U6">
            <v>6.6699999999999995E-4</v>
          </cell>
          <cell r="V6" t="str">
            <v xml:space="preserve"> - </v>
          </cell>
          <cell r="W6" t="str">
            <v/>
          </cell>
        </row>
        <row r="7">
          <cell r="A7">
            <v>3</v>
          </cell>
          <cell r="B7" t="str">
            <v>1.0 ContainerHolds specific amount of liquid (Soap)</v>
          </cell>
          <cell r="C7" t="str">
            <v>1.1 Leaks</v>
          </cell>
          <cell r="D7" t="str">
            <v>1.1.1 Loss of liquid (8)</v>
          </cell>
          <cell r="E7">
            <v>8</v>
          </cell>
          <cell r="G7" t="str">
            <v>1.1.C Thermal degradation</v>
          </cell>
          <cell r="H7">
            <v>7</v>
          </cell>
          <cell r="I7" t="str">
            <v>M-104,Thermal Cycle Testing (3) Engineering Analysis (2)</v>
          </cell>
          <cell r="J7">
            <v>2</v>
          </cell>
          <cell r="K7">
            <v>112</v>
          </cell>
          <cell r="L7" t="str">
            <v>Change Plastic Material</v>
          </cell>
          <cell r="M7" t="str">
            <v>Release Eng..Oct 31, 93</v>
          </cell>
          <cell r="O7" t="str">
            <v>Plastic PT-333</v>
          </cell>
          <cell r="P7">
            <v>8</v>
          </cell>
          <cell r="Q7">
            <v>1</v>
          </cell>
          <cell r="R7">
            <v>2</v>
          </cell>
          <cell r="S7">
            <v>16</v>
          </cell>
          <cell r="U7">
            <v>50</v>
          </cell>
          <cell r="V7">
            <v>6.6699999999999995E-4</v>
          </cell>
          <cell r="W7">
            <v>49.999333</v>
          </cell>
        </row>
        <row r="8">
          <cell r="A8">
            <v>4</v>
          </cell>
          <cell r="B8" t="str">
            <v>1.0 ContainerProvides attachment mechanism to lid.</v>
          </cell>
          <cell r="C8" t="str">
            <v>1.2 Deformed</v>
          </cell>
          <cell r="D8" t="str">
            <v>1.2.1 Reduced liquid content (5)</v>
          </cell>
          <cell r="E8">
            <v>5</v>
          </cell>
          <cell r="G8" t="str">
            <v>1.2.A Thermal deformation</v>
          </cell>
          <cell r="H8">
            <v>7</v>
          </cell>
          <cell r="I8" t="str">
            <v>M-104,Thermal Cycle Testing (3) Engineering Analysis (2)</v>
          </cell>
          <cell r="J8">
            <v>2</v>
          </cell>
          <cell r="K8">
            <v>70</v>
          </cell>
          <cell r="L8" t="str">
            <v>Change Plastic Material</v>
          </cell>
          <cell r="M8" t="str">
            <v>Release Eng..Oct 31, 93</v>
          </cell>
          <cell r="O8" t="str">
            <v>Plastic PT-333</v>
          </cell>
          <cell r="P8">
            <v>8</v>
          </cell>
          <cell r="Q8">
            <v>1</v>
          </cell>
          <cell r="R8">
            <v>2</v>
          </cell>
          <cell r="S8">
            <v>16</v>
          </cell>
          <cell r="U8">
            <v>50</v>
          </cell>
          <cell r="V8">
            <v>6.6699999999999995E-4</v>
          </cell>
          <cell r="W8">
            <v>49.999333</v>
          </cell>
        </row>
        <row r="9">
          <cell r="A9">
            <v>5</v>
          </cell>
          <cell r="B9" t="str">
            <v>1.0 ContainerProvides attachment mechanism to lid.</v>
          </cell>
          <cell r="C9" t="str">
            <v>1.3 Loose</v>
          </cell>
          <cell r="D9" t="str">
            <v>1.3.1 Loss of liquid (8)</v>
          </cell>
          <cell r="E9">
            <v>8</v>
          </cell>
          <cell r="G9" t="str">
            <v>1.3.A Improper Thread Design</v>
          </cell>
          <cell r="H9">
            <v>2</v>
          </cell>
          <cell r="I9" t="str">
            <v>Engineering Analysis (2)</v>
          </cell>
          <cell r="J9">
            <v>2</v>
          </cell>
          <cell r="K9">
            <v>32</v>
          </cell>
          <cell r="L9" t="str">
            <v xml:space="preserve">Design Verification &amp; DOE Study </v>
          </cell>
          <cell r="M9" t="str">
            <v>Release Eng..Oct 31, 94</v>
          </cell>
          <cell r="O9" t="str">
            <v xml:space="preserve">Design Verification &amp; DOE Study </v>
          </cell>
          <cell r="P9">
            <v>8</v>
          </cell>
          <cell r="Q9">
            <v>1</v>
          </cell>
          <cell r="R9">
            <v>1</v>
          </cell>
          <cell r="S9">
            <v>8</v>
          </cell>
          <cell r="U9">
            <v>6.6670000000000002E-3</v>
          </cell>
          <cell r="V9">
            <v>6.6699999999999995E-4</v>
          </cell>
          <cell r="W9">
            <v>6.0000000000000001E-3</v>
          </cell>
        </row>
        <row r="10">
          <cell r="A10">
            <v>6</v>
          </cell>
          <cell r="B10" t="str">
            <v>1.0 ContainerProvides attachment mechanism to lid.</v>
          </cell>
          <cell r="C10" t="str">
            <v>1.4 Does not attach</v>
          </cell>
          <cell r="D10" t="str">
            <v>1.4.1 Loss of label (8) label (8)1.4.2 Label peels halfway off (6)</v>
          </cell>
          <cell r="E10">
            <v>8</v>
          </cell>
          <cell r="G10" t="str">
            <v>1.4.A Chemical incompatibility</v>
          </cell>
          <cell r="H10">
            <v>2</v>
          </cell>
          <cell r="I10" t="str">
            <v>CT-Chemical Interaction Testing (1)</v>
          </cell>
          <cell r="J10">
            <v>1</v>
          </cell>
          <cell r="K10">
            <v>16</v>
          </cell>
          <cell r="L10" t="str">
            <v>Visit label Supplier</v>
          </cell>
          <cell r="M10" t="str">
            <v>R/T, Release Eng.. Nov. 15, 93</v>
          </cell>
          <cell r="O10" t="str">
            <v>Visit Supplier</v>
          </cell>
          <cell r="P10">
            <v>8</v>
          </cell>
          <cell r="Q10">
            <v>1</v>
          </cell>
          <cell r="R10">
            <v>1</v>
          </cell>
          <cell r="S10">
            <v>8</v>
          </cell>
          <cell r="U10">
            <v>6.6670000000000002E-3</v>
          </cell>
          <cell r="V10">
            <v>6.6699999999999995E-4</v>
          </cell>
          <cell r="W10">
            <v>6.0000000000000001E-3</v>
          </cell>
        </row>
        <row r="11">
          <cell r="A11">
            <v>7</v>
          </cell>
          <cell r="B11" t="str">
            <v>1.0 ContainerStands in upright position.</v>
          </cell>
          <cell r="C11" t="str">
            <v>1.4 Does not attach</v>
          </cell>
          <cell r="D11" t="str">
            <v>1.4.1 Loss of label (8) label (8)1.4.2 Label peels halfway off (6)</v>
          </cell>
          <cell r="E11">
            <v>8</v>
          </cell>
          <cell r="G11" t="str">
            <v>1.4.B Improper adhesive</v>
          </cell>
          <cell r="H11">
            <v>3</v>
          </cell>
          <cell r="I11" t="str">
            <v>Engineering Analysis (2)CT-Chemical Interaction Testing (4)</v>
          </cell>
          <cell r="J11">
            <v>2</v>
          </cell>
          <cell r="K11">
            <v>48</v>
          </cell>
          <cell r="L11" t="str">
            <v>Visit label Supplier</v>
          </cell>
          <cell r="M11" t="str">
            <v>R/T, Release Eng.. Nov. 15, 94</v>
          </cell>
          <cell r="O11" t="str">
            <v>Visit Supplier</v>
          </cell>
          <cell r="P11">
            <v>8</v>
          </cell>
          <cell r="Q11">
            <v>1</v>
          </cell>
          <cell r="R11">
            <v>1</v>
          </cell>
          <cell r="S11">
            <v>8</v>
          </cell>
          <cell r="U11">
            <v>6.6667000000000004E-2</v>
          </cell>
          <cell r="V11">
            <v>6.6699999999999995E-4</v>
          </cell>
          <cell r="W11">
            <v>6.6000000000000003E-2</v>
          </cell>
        </row>
        <row r="12">
          <cell r="A12">
            <v>8</v>
          </cell>
          <cell r="B12" t="str">
            <v>1.0 ContainerStands in upright position.</v>
          </cell>
          <cell r="C12" t="str">
            <v>1.5 Falls down</v>
          </cell>
          <cell r="D12" t="str">
            <v>1.5.1 Possible loss of liquid (8)1.5.2 Break Lid (7) 1.5.3 Break Plunger (8) 1.5.4 Scratched label (4) 1.5.5 Tears off label (5)</v>
          </cell>
          <cell r="E12">
            <v>8</v>
          </cell>
          <cell r="G12" t="str">
            <v>1.5.A Thermal deformation</v>
          </cell>
          <cell r="H12">
            <v>7</v>
          </cell>
          <cell r="I12" t="str">
            <v>M-104,Thermal Cycle Testing (3) Engineering Analysis (2)</v>
          </cell>
          <cell r="J12">
            <v>2</v>
          </cell>
          <cell r="K12">
            <v>112</v>
          </cell>
          <cell r="L12" t="str">
            <v>Change Plastic Material</v>
          </cell>
          <cell r="M12" t="str">
            <v>Release Eng.. Oct 31, 93</v>
          </cell>
          <cell r="O12" t="str">
            <v>Plastic PT-333</v>
          </cell>
          <cell r="P12">
            <v>8</v>
          </cell>
          <cell r="Q12">
            <v>1</v>
          </cell>
          <cell r="R12">
            <v>2</v>
          </cell>
          <cell r="S12">
            <v>16</v>
          </cell>
          <cell r="U12">
            <v>50</v>
          </cell>
          <cell r="V12">
            <v>6.6699999999999995E-4</v>
          </cell>
          <cell r="W12">
            <v>49.999333</v>
          </cell>
        </row>
        <row r="13">
          <cell r="A13">
            <v>9</v>
          </cell>
          <cell r="B13" t="str">
            <v>2.0 Lid/PlungerSeals container</v>
          </cell>
          <cell r="C13" t="str">
            <v>1.5 Falls down</v>
          </cell>
          <cell r="D13" t="str">
            <v>1.5.1 Possible loss of liquid (8)1.5.2 Break Lid (7) 1.5.3 Break Plunger (8) 1.5.4 Scratched label (4) 1.5.5 Tears off label (5)</v>
          </cell>
          <cell r="E13">
            <v>8</v>
          </cell>
          <cell r="G13" t="str">
            <v>1.5.B Shock/Impact</v>
          </cell>
          <cell r="H13">
            <v>2</v>
          </cell>
          <cell r="I13" t="str">
            <v>M-101,Drop Test (6)M-102,Compression Test (4)M-103,Thermal Cycle w/Drop testing (4)</v>
          </cell>
          <cell r="J13">
            <v>4</v>
          </cell>
          <cell r="K13">
            <v>64</v>
          </cell>
          <cell r="L13" t="str">
            <v>Develop better Drop Test.</v>
          </cell>
          <cell r="M13" t="str">
            <v>Release Eng.. Oct 31, 94</v>
          </cell>
          <cell r="O13" t="str">
            <v>Test M-101.1</v>
          </cell>
          <cell r="P13">
            <v>8</v>
          </cell>
          <cell r="Q13">
            <v>2</v>
          </cell>
          <cell r="R13">
            <v>1</v>
          </cell>
          <cell r="S13">
            <v>16</v>
          </cell>
          <cell r="U13">
            <v>6.6670000000000002E-3</v>
          </cell>
          <cell r="V13">
            <v>6.6670000000000002E-3</v>
          </cell>
          <cell r="W13">
            <v>0</v>
          </cell>
        </row>
        <row r="14">
          <cell r="A14">
            <v>10</v>
          </cell>
          <cell r="B14" t="str">
            <v>2.0 Lid/PlungerSeals container</v>
          </cell>
          <cell r="C14" t="str">
            <v>2.1 Leaks</v>
          </cell>
          <cell r="D14" t="str">
            <v>2.1.1 Loss of Liquid (8)</v>
          </cell>
          <cell r="E14">
            <v>8</v>
          </cell>
          <cell r="G14" t="str">
            <v>2.1.A Shock/Impact</v>
          </cell>
          <cell r="H14">
            <v>5</v>
          </cell>
          <cell r="I14" t="str">
            <v>M-101,Drop Test (8) M-102,Compression Test (6) M-103,Thermal Cycle w/Drop testing (6)</v>
          </cell>
          <cell r="J14">
            <v>6</v>
          </cell>
          <cell r="K14">
            <v>240</v>
          </cell>
          <cell r="L14" t="str">
            <v>Develop better Drop Test.Strengthen Lid/Plunger</v>
          </cell>
          <cell r="M14" t="str">
            <v>Release Eng.. Oct 31, 94Release Eng.. Nov. 15, 93</v>
          </cell>
          <cell r="O14" t="str">
            <v>Test M-101.1,M-101.2Redesigned Plunger stem</v>
          </cell>
          <cell r="P14">
            <v>8</v>
          </cell>
          <cell r="Q14">
            <v>2</v>
          </cell>
          <cell r="R14">
            <v>1</v>
          </cell>
          <cell r="S14">
            <v>16</v>
          </cell>
          <cell r="U14">
            <v>2.5</v>
          </cell>
          <cell r="V14">
            <v>6.6670000000000002E-3</v>
          </cell>
          <cell r="W14">
            <v>2.4933329999999998</v>
          </cell>
        </row>
        <row r="15">
          <cell r="A15">
            <v>11</v>
          </cell>
          <cell r="B15" t="str">
            <v>2.0 Lid/PlungerSeals container</v>
          </cell>
          <cell r="C15">
            <v>2.1</v>
          </cell>
          <cell r="D15" t="str">
            <v>2.1.1 Loss of Liquid (8)</v>
          </cell>
          <cell r="E15">
            <v>8</v>
          </cell>
          <cell r="G15" t="str">
            <v>2.1.B Chemical incompatibility</v>
          </cell>
          <cell r="H15">
            <v>1</v>
          </cell>
          <cell r="I15" t="str">
            <v>CT-Chemical Interaction Testing (1)</v>
          </cell>
          <cell r="J15">
            <v>1</v>
          </cell>
          <cell r="K15">
            <v>8</v>
          </cell>
          <cell r="L15" t="str">
            <v>None</v>
          </cell>
          <cell r="S15">
            <v>0</v>
          </cell>
          <cell r="U15">
            <v>6.6699999999999995E-4</v>
          </cell>
          <cell r="V15" t="str">
            <v xml:space="preserve"> - </v>
          </cell>
          <cell r="W15" t="str">
            <v/>
          </cell>
        </row>
        <row r="16">
          <cell r="A16">
            <v>12</v>
          </cell>
          <cell r="B16" t="str">
            <v>2.0 Lid/PlungerSeals container</v>
          </cell>
          <cell r="C16" t="str">
            <v>2.1 Leaks</v>
          </cell>
          <cell r="D16" t="str">
            <v>2.1.1 Loss of Liquid (8)</v>
          </cell>
          <cell r="E16">
            <v>8</v>
          </cell>
          <cell r="G16" t="str">
            <v>2.1.C Thermal degradation</v>
          </cell>
          <cell r="H16">
            <v>1</v>
          </cell>
          <cell r="I16" t="str">
            <v>M-104,Thermal Cycle Testing (3)Engineering Analysis (2)</v>
          </cell>
          <cell r="J16">
            <v>2</v>
          </cell>
          <cell r="K16">
            <v>16</v>
          </cell>
          <cell r="L16" t="str">
            <v>None</v>
          </cell>
          <cell r="S16">
            <v>0</v>
          </cell>
          <cell r="U16">
            <v>6.6699999999999995E-4</v>
          </cell>
          <cell r="V16" t="str">
            <v xml:space="preserve"> - </v>
          </cell>
          <cell r="W16" t="str">
            <v/>
          </cell>
        </row>
        <row r="17">
          <cell r="A17">
            <v>13</v>
          </cell>
          <cell r="B17" t="str">
            <v>2.0 Lid/PlungerSeals container</v>
          </cell>
          <cell r="C17" t="str">
            <v>2.1 Leaks</v>
          </cell>
          <cell r="D17" t="str">
            <v>2.1.1 Loss of Liquid (8)</v>
          </cell>
          <cell r="E17">
            <v>8</v>
          </cell>
          <cell r="G17" t="str">
            <v>2.1.D Thermal deformation</v>
          </cell>
          <cell r="H17">
            <v>1</v>
          </cell>
          <cell r="I17" t="str">
            <v>M-104,Thermal Cycle Testing (3)Engineering Analysis (2)</v>
          </cell>
          <cell r="J17">
            <v>2</v>
          </cell>
          <cell r="K17">
            <v>16</v>
          </cell>
          <cell r="L17" t="str">
            <v>None</v>
          </cell>
          <cell r="S17">
            <v>0</v>
          </cell>
          <cell r="U17">
            <v>6.6699999999999995E-4</v>
          </cell>
          <cell r="V17" t="str">
            <v xml:space="preserve"> - </v>
          </cell>
          <cell r="W17" t="str">
            <v/>
          </cell>
        </row>
        <row r="18">
          <cell r="A18">
            <v>14</v>
          </cell>
          <cell r="B18" t="str">
            <v>2.0 Lid/PlungerDispenses specific amount of liquid (Soap)</v>
          </cell>
          <cell r="C18" t="str">
            <v>2.1 Leaks</v>
          </cell>
          <cell r="D18" t="str">
            <v>2.1.1 Loss of Liquid (8)</v>
          </cell>
          <cell r="E18">
            <v>8</v>
          </cell>
          <cell r="G18" t="str">
            <v>2.1.E Improper Thread Design</v>
          </cell>
          <cell r="H18">
            <v>2</v>
          </cell>
          <cell r="I18" t="str">
            <v>Engineering Analysis (2)</v>
          </cell>
          <cell r="J18">
            <v>2</v>
          </cell>
          <cell r="K18">
            <v>32</v>
          </cell>
          <cell r="L18" t="str">
            <v xml:space="preserve">Design Verification &amp; DOE Study </v>
          </cell>
          <cell r="M18" t="str">
            <v>Release Eng.. Oct 31, 93</v>
          </cell>
          <cell r="O18" t="str">
            <v xml:space="preserve">Design Verification &amp; DOE Study </v>
          </cell>
          <cell r="P18">
            <v>8</v>
          </cell>
          <cell r="Q18">
            <v>1</v>
          </cell>
          <cell r="R18">
            <v>1</v>
          </cell>
          <cell r="S18">
            <v>8</v>
          </cell>
          <cell r="U18">
            <v>6.6670000000000002E-3</v>
          </cell>
          <cell r="V18">
            <v>6.6699999999999995E-4</v>
          </cell>
          <cell r="W18">
            <v>6.0000000000000001E-3</v>
          </cell>
        </row>
        <row r="19">
          <cell r="A19">
            <v>15</v>
          </cell>
          <cell r="B19" t="str">
            <v>2.0 Lid/PlungerDispenses specific amount of liquid (Soap)</v>
          </cell>
          <cell r="C19" t="str">
            <v>2.2 No liquid</v>
          </cell>
          <cell r="D19" t="str">
            <v>2.2.1 System inoperative (8)</v>
          </cell>
          <cell r="E19">
            <v>8</v>
          </cell>
          <cell r="G19" t="str">
            <v>2.2.A Dimensional Incompatibility</v>
          </cell>
          <cell r="H19">
            <v>4</v>
          </cell>
          <cell r="I19" t="str">
            <v>Engineering Analysis (2)</v>
          </cell>
          <cell r="J19">
            <v>2</v>
          </cell>
          <cell r="K19">
            <v>64</v>
          </cell>
          <cell r="L19" t="str">
            <v xml:space="preserve">Design Verification &amp; DOE Study </v>
          </cell>
          <cell r="M19" t="str">
            <v>Release Eng.. Oct 31, 93</v>
          </cell>
          <cell r="O19" t="str">
            <v xml:space="preserve">Design Verification &amp; DOE Study </v>
          </cell>
          <cell r="P19">
            <v>8</v>
          </cell>
          <cell r="Q19">
            <v>1</v>
          </cell>
          <cell r="R19">
            <v>2</v>
          </cell>
          <cell r="S19">
            <v>16</v>
          </cell>
          <cell r="U19">
            <v>0.5</v>
          </cell>
          <cell r="V19">
            <v>6.6699999999999995E-4</v>
          </cell>
          <cell r="W19">
            <v>0.49933300000000003</v>
          </cell>
        </row>
        <row r="20">
          <cell r="A20">
            <v>16</v>
          </cell>
          <cell r="B20" t="str">
            <v>2.0 Lid/PlungerDispenses specific amount of liquid (Soap)</v>
          </cell>
          <cell r="C20" t="str">
            <v>2.2 No liquid</v>
          </cell>
          <cell r="D20" t="str">
            <v>2.2.1 System inoperative (8)</v>
          </cell>
          <cell r="E20">
            <v>8</v>
          </cell>
          <cell r="G20" t="str">
            <v>2.2.B Thermal Parts expansion</v>
          </cell>
          <cell r="H20">
            <v>1</v>
          </cell>
          <cell r="I20" t="str">
            <v>M-104,Thermal Cycle Testing (3)Engineering Analysis (2)</v>
          </cell>
          <cell r="J20">
            <v>2</v>
          </cell>
          <cell r="K20">
            <v>16</v>
          </cell>
          <cell r="L20" t="str">
            <v>None</v>
          </cell>
          <cell r="S20">
            <v>0</v>
          </cell>
          <cell r="U20">
            <v>6.6699999999999995E-4</v>
          </cell>
          <cell r="V20" t="str">
            <v xml:space="preserve"> - </v>
          </cell>
          <cell r="W20" t="str">
            <v/>
          </cell>
        </row>
        <row r="21">
          <cell r="A21">
            <v>17</v>
          </cell>
          <cell r="B21" t="str">
            <v>2.0 Lid/PlungerDispenses specific amount of liquid (Soap)</v>
          </cell>
          <cell r="C21" t="str">
            <v>2.2 No liquid</v>
          </cell>
          <cell r="D21" t="str">
            <v>2.2.1 System inoperative (8)</v>
          </cell>
          <cell r="E21">
            <v>8</v>
          </cell>
          <cell r="G21" t="str">
            <v>2.2.C Blockage (Soap Hardening)</v>
          </cell>
          <cell r="H21">
            <v>4</v>
          </cell>
          <cell r="I21" t="str">
            <v>Engineering Analysis (2)</v>
          </cell>
          <cell r="J21">
            <v>2</v>
          </cell>
          <cell r="K21">
            <v>64</v>
          </cell>
          <cell r="L21" t="str">
            <v>DOE Study Visit Soap Manufacturers</v>
          </cell>
          <cell r="M21" t="str">
            <v>Release Eng.. Oct 31, 93Group Visit Nov. 1, 93</v>
          </cell>
          <cell r="O21" t="str">
            <v>DOE Study Visit Soap Manufacturers</v>
          </cell>
          <cell r="P21">
            <v>8</v>
          </cell>
          <cell r="Q21">
            <v>2</v>
          </cell>
          <cell r="R21">
            <v>2</v>
          </cell>
          <cell r="S21">
            <v>32</v>
          </cell>
          <cell r="U21">
            <v>0.5</v>
          </cell>
          <cell r="V21">
            <v>6.6670000000000002E-3</v>
          </cell>
          <cell r="W21">
            <v>0.49333300000000002</v>
          </cell>
        </row>
        <row r="22">
          <cell r="A22">
            <v>18</v>
          </cell>
          <cell r="B22" t="str">
            <v>2.0 Lid/PlungerDispenses specific amount of liquid (Soap)</v>
          </cell>
          <cell r="C22" t="str">
            <v>2.2 No liquid</v>
          </cell>
          <cell r="D22" t="str">
            <v>2.2.1 System inoperative (8)</v>
          </cell>
          <cell r="E22">
            <v>8</v>
          </cell>
          <cell r="G22" t="str">
            <v>2.2.D Thermal deformation</v>
          </cell>
          <cell r="H22">
            <v>1</v>
          </cell>
          <cell r="I22" t="str">
            <v>M-104,Thermal Cycle Testing (3)Engineering Analysis (2)</v>
          </cell>
          <cell r="J22">
            <v>2</v>
          </cell>
          <cell r="K22">
            <v>16</v>
          </cell>
          <cell r="L22" t="str">
            <v>None</v>
          </cell>
          <cell r="S22">
            <v>0</v>
          </cell>
          <cell r="U22">
            <v>6.6699999999999995E-4</v>
          </cell>
          <cell r="V22" t="str">
            <v xml:space="preserve"> - </v>
          </cell>
          <cell r="W22" t="str">
            <v/>
          </cell>
        </row>
        <row r="23">
          <cell r="A23">
            <v>19</v>
          </cell>
          <cell r="B23" t="str">
            <v>2.0 Lid/PlungerDispenses specific amount of liquid (Soap)</v>
          </cell>
          <cell r="C23" t="str">
            <v>2.3 Insufficient</v>
          </cell>
          <cell r="D23" t="str">
            <v>2.3.1 Requires multiple operations (5)</v>
          </cell>
          <cell r="E23">
            <v>5</v>
          </cell>
          <cell r="G23" t="str">
            <v>2.3.A Dimensional Incompatibility</v>
          </cell>
          <cell r="H23">
            <v>2</v>
          </cell>
          <cell r="I23" t="str">
            <v>Engineering Analysis (2)</v>
          </cell>
          <cell r="J23">
            <v>2</v>
          </cell>
          <cell r="K23">
            <v>20</v>
          </cell>
          <cell r="L23" t="str">
            <v xml:space="preserve">Design Verification &amp; DOE Study </v>
          </cell>
          <cell r="M23" t="str">
            <v>Release Eng.. Oct 31, 93</v>
          </cell>
          <cell r="O23" t="str">
            <v xml:space="preserve">Design Verification &amp; DOE Study </v>
          </cell>
          <cell r="P23">
            <v>8</v>
          </cell>
          <cell r="Q23">
            <v>1</v>
          </cell>
          <cell r="R23">
            <v>2</v>
          </cell>
          <cell r="S23">
            <v>16</v>
          </cell>
          <cell r="U23">
            <v>6.6670000000000002E-3</v>
          </cell>
          <cell r="V23">
            <v>6.6699999999999995E-4</v>
          </cell>
          <cell r="W23">
            <v>6.0000000000000001E-3</v>
          </cell>
        </row>
        <row r="24">
          <cell r="A24">
            <v>20</v>
          </cell>
          <cell r="B24" t="str">
            <v>2.0 Lid/PlungerDispenses specific amount of liquid (Soap)</v>
          </cell>
          <cell r="C24" t="str">
            <v>2.3 Insufficient</v>
          </cell>
          <cell r="D24" t="str">
            <v>2.3.1 Requires multiple operations (5)</v>
          </cell>
          <cell r="E24">
            <v>5</v>
          </cell>
          <cell r="G24" t="str">
            <v>2.3.B Plunger volume too small</v>
          </cell>
          <cell r="H24">
            <v>3</v>
          </cell>
          <cell r="I24" t="str">
            <v>Engineering Analysis (2)</v>
          </cell>
          <cell r="J24">
            <v>2</v>
          </cell>
          <cell r="K24">
            <v>30</v>
          </cell>
          <cell r="L24" t="str">
            <v>Design Verification</v>
          </cell>
          <cell r="M24" t="str">
            <v>Release Eng.. Oct 31, 93</v>
          </cell>
          <cell r="O24" t="str">
            <v>Design Verification</v>
          </cell>
          <cell r="P24">
            <v>8</v>
          </cell>
          <cell r="Q24">
            <v>1</v>
          </cell>
          <cell r="R24">
            <v>2</v>
          </cell>
          <cell r="S24">
            <v>16</v>
          </cell>
          <cell r="U24">
            <v>6.6667000000000004E-2</v>
          </cell>
          <cell r="V24">
            <v>6.6699999999999995E-4</v>
          </cell>
          <cell r="W24">
            <v>6.6000000000000003E-2</v>
          </cell>
        </row>
        <row r="25">
          <cell r="A25">
            <v>21</v>
          </cell>
          <cell r="B25" t="str">
            <v>2.0 Lid/PlungerDispenses specific amount of liquid (Soap)</v>
          </cell>
          <cell r="C25" t="str">
            <v>2.3 Insufficient</v>
          </cell>
          <cell r="D25" t="str">
            <v>2.3.1 Requires multiple operations (5)</v>
          </cell>
          <cell r="E25">
            <v>5</v>
          </cell>
          <cell r="G25" t="str">
            <v>2.3.C Thermal deformation</v>
          </cell>
          <cell r="H25">
            <v>1</v>
          </cell>
          <cell r="I25" t="str">
            <v>M-104,Thermal Cycle Testing (3)Engineering Analysis (2)</v>
          </cell>
          <cell r="J25">
            <v>2</v>
          </cell>
          <cell r="K25">
            <v>10</v>
          </cell>
          <cell r="L25" t="str">
            <v>None</v>
          </cell>
          <cell r="S25">
            <v>0</v>
          </cell>
          <cell r="U25">
            <v>6.6699999999999995E-4</v>
          </cell>
          <cell r="V25" t="str">
            <v xml:space="preserve"> - </v>
          </cell>
          <cell r="W25" t="str">
            <v/>
          </cell>
        </row>
        <row r="26">
          <cell r="A26">
            <v>22</v>
          </cell>
          <cell r="B26" t="str">
            <v>2.0 Lid/PlungerProvides locking mechanism</v>
          </cell>
          <cell r="C26" t="str">
            <v>2.4 Excessive</v>
          </cell>
          <cell r="D26" t="str">
            <v>2.4.1 Liquid waste and mess (6)</v>
          </cell>
          <cell r="E26">
            <v>6</v>
          </cell>
          <cell r="G26" t="str">
            <v>2.4.A Plunger volume too large</v>
          </cell>
          <cell r="H26">
            <v>3</v>
          </cell>
          <cell r="I26" t="str">
            <v>Engineering Analysis (2)</v>
          </cell>
          <cell r="J26">
            <v>2</v>
          </cell>
          <cell r="K26">
            <v>36</v>
          </cell>
          <cell r="L26" t="str">
            <v>Design Verification</v>
          </cell>
          <cell r="M26" t="str">
            <v>Release Eng.. Oct 31, 93</v>
          </cell>
          <cell r="O26" t="str">
            <v>Design Verification</v>
          </cell>
          <cell r="P26">
            <v>8</v>
          </cell>
          <cell r="Q26">
            <v>1</v>
          </cell>
          <cell r="R26">
            <v>2</v>
          </cell>
          <cell r="S26">
            <v>16</v>
          </cell>
          <cell r="U26">
            <v>6.6667000000000004E-2</v>
          </cell>
          <cell r="V26">
            <v>6.6699999999999995E-4</v>
          </cell>
          <cell r="W26">
            <v>6.6000000000000003E-2</v>
          </cell>
        </row>
        <row r="27">
          <cell r="A27">
            <v>23</v>
          </cell>
          <cell r="B27" t="str">
            <v>2.0 Lid/PlungerProvides locking mechanism</v>
          </cell>
          <cell r="C27" t="str">
            <v>2.5 Does not lock</v>
          </cell>
          <cell r="D27" t="str">
            <v>2.5.1 Loss of liquid (8)</v>
          </cell>
          <cell r="E27">
            <v>8</v>
          </cell>
          <cell r="G27" t="str">
            <v>2.5.A Dimensional Incompatibility</v>
          </cell>
          <cell r="H27">
            <v>5</v>
          </cell>
          <cell r="I27" t="str">
            <v>Engineering Analysis (2)</v>
          </cell>
          <cell r="J27">
            <v>2</v>
          </cell>
          <cell r="K27">
            <v>80</v>
          </cell>
          <cell r="L27" t="str">
            <v>Design Verification</v>
          </cell>
          <cell r="M27" t="str">
            <v>Release Eng.. Oct 31, 93</v>
          </cell>
          <cell r="O27" t="str">
            <v>Design Verification</v>
          </cell>
          <cell r="P27">
            <v>8</v>
          </cell>
          <cell r="Q27">
            <v>1</v>
          </cell>
          <cell r="R27">
            <v>2</v>
          </cell>
          <cell r="S27">
            <v>16</v>
          </cell>
          <cell r="U27">
            <v>2.5</v>
          </cell>
          <cell r="V27">
            <v>6.6699999999999995E-4</v>
          </cell>
          <cell r="W27">
            <v>2.499333</v>
          </cell>
        </row>
        <row r="28">
          <cell r="A28">
            <v>24</v>
          </cell>
          <cell r="B28" t="str">
            <v>2.0 Lid/PlungerProvides locking mechanism</v>
          </cell>
          <cell r="C28" t="str">
            <v>2.5 Does not lock</v>
          </cell>
          <cell r="D28" t="str">
            <v>2.5.1 Loss of liquid (8)</v>
          </cell>
          <cell r="E28">
            <v>8</v>
          </cell>
          <cell r="G28" t="str">
            <v>2.5.B Thermal Parts expansion</v>
          </cell>
          <cell r="H28">
            <v>1</v>
          </cell>
          <cell r="I28" t="str">
            <v>M-104,Thermal Cycle Testing (3)Engineering Analysis (2)</v>
          </cell>
          <cell r="J28">
            <v>2</v>
          </cell>
          <cell r="K28">
            <v>16</v>
          </cell>
          <cell r="L28" t="str">
            <v>None</v>
          </cell>
          <cell r="S28">
            <v>0</v>
          </cell>
          <cell r="U28">
            <v>6.6699999999999995E-4</v>
          </cell>
          <cell r="V28" t="str">
            <v xml:space="preserve"> - </v>
          </cell>
          <cell r="W28" t="str">
            <v/>
          </cell>
        </row>
        <row r="29">
          <cell r="A29">
            <v>25</v>
          </cell>
          <cell r="B29" t="str">
            <v>2.0 Lid/PlungerProvides locking mechanism</v>
          </cell>
          <cell r="C29" t="str">
            <v>2.5 Does not lock</v>
          </cell>
          <cell r="D29" t="str">
            <v>2.5.1 Loss of liquid (8)</v>
          </cell>
          <cell r="E29">
            <v>8</v>
          </cell>
          <cell r="G29" t="str">
            <v>2.5.C Thermal deformation</v>
          </cell>
          <cell r="H29">
            <v>1</v>
          </cell>
          <cell r="I29" t="str">
            <v>M-104,Thermal Cycle Testing (3)Engineering Analysis (2)</v>
          </cell>
          <cell r="J29">
            <v>2</v>
          </cell>
          <cell r="K29">
            <v>16</v>
          </cell>
          <cell r="L29" t="str">
            <v>None</v>
          </cell>
          <cell r="S29">
            <v>0</v>
          </cell>
          <cell r="U29">
            <v>6.6699999999999995E-4</v>
          </cell>
          <cell r="V29" t="str">
            <v xml:space="preserve"> - </v>
          </cell>
          <cell r="W29" t="str">
            <v/>
          </cell>
        </row>
        <row r="30">
          <cell r="A30">
            <v>26</v>
          </cell>
          <cell r="B30" t="str">
            <v>2.0 Lid/PlungerProvides locking mechanism</v>
          </cell>
          <cell r="C30" t="str">
            <v>2.5 Does not lock</v>
          </cell>
          <cell r="D30" t="str">
            <v>2.5.1 Loss of liquid (8)</v>
          </cell>
          <cell r="E30">
            <v>8</v>
          </cell>
          <cell r="G30" t="str">
            <v>2.5.D Shock/Impact</v>
          </cell>
          <cell r="H30">
            <v>5</v>
          </cell>
          <cell r="I30" t="str">
            <v>M-101,Drop Test (8)M-102,Compression Test (6) M-103,Thermal Cycle w/Drop testing (6)</v>
          </cell>
          <cell r="J30">
            <v>6</v>
          </cell>
          <cell r="K30">
            <v>240</v>
          </cell>
          <cell r="L30" t="str">
            <v>Develop better Drop Test.Strengthen Lid/Plunger</v>
          </cell>
          <cell r="M30" t="str">
            <v>Release Eng.. Oct 31, 94Release Eng.. Nov. 15, 93</v>
          </cell>
          <cell r="O30" t="str">
            <v>Test M-101.1,M-101.2Redesigned Plunger stem</v>
          </cell>
          <cell r="P30">
            <v>8</v>
          </cell>
          <cell r="Q30">
            <v>1</v>
          </cell>
          <cell r="R30">
            <v>2</v>
          </cell>
          <cell r="S30">
            <v>16</v>
          </cell>
          <cell r="U30">
            <v>2.5</v>
          </cell>
          <cell r="V30">
            <v>6.6699999999999995E-4</v>
          </cell>
          <cell r="W30">
            <v>2.499333</v>
          </cell>
        </row>
        <row r="31">
          <cell r="A31">
            <v>27</v>
          </cell>
          <cell r="B31" t="str">
            <v>2.0 Lid/PlungerProvides locking mechanism</v>
          </cell>
          <cell r="C31" t="str">
            <v>2.6 Does not unlock</v>
          </cell>
          <cell r="D31" t="str">
            <v>2.6.1 System inoperative (8)inoperative (8)2.6.2 Customer breaks finger (10)</v>
          </cell>
          <cell r="E31">
            <v>10</v>
          </cell>
          <cell r="F31" t="str">
            <v>X</v>
          </cell>
          <cell r="G31" t="str">
            <v>2.6.A Dimensional Incompatibility</v>
          </cell>
          <cell r="H31">
            <v>5</v>
          </cell>
          <cell r="I31" t="str">
            <v>Engineering Analysis (2)- Stack-Up Study</v>
          </cell>
          <cell r="J31">
            <v>2</v>
          </cell>
          <cell r="K31">
            <v>100</v>
          </cell>
          <cell r="L31" t="str">
            <v>Tighten thread specifications (3NCF-12)</v>
          </cell>
          <cell r="M31" t="str">
            <v>Release Eng..  Oct 31, 94</v>
          </cell>
          <cell r="O31" t="str">
            <v>Thread spec. tightened, KPC added to drawing</v>
          </cell>
          <cell r="P31">
            <v>10</v>
          </cell>
          <cell r="Q31">
            <v>1</v>
          </cell>
          <cell r="R31">
            <v>2</v>
          </cell>
          <cell r="S31">
            <v>20</v>
          </cell>
          <cell r="U31">
            <v>2.5</v>
          </cell>
          <cell r="V31">
            <v>6.6699999999999995E-4</v>
          </cell>
          <cell r="W31">
            <v>2.499333</v>
          </cell>
        </row>
        <row r="32">
          <cell r="A32">
            <v>28</v>
          </cell>
          <cell r="B32" t="str">
            <v>2.0 Lid/PlungerProvides locking mechanism</v>
          </cell>
          <cell r="C32" t="str">
            <v>2.6 Does not unlock</v>
          </cell>
          <cell r="D32" t="str">
            <v>2.6.1 System inoperative (8)inoperative (8)2.6.2 Customer breaks finger (10)</v>
          </cell>
          <cell r="E32">
            <v>10</v>
          </cell>
          <cell r="G32" t="str">
            <v>2.6.B Thermal Parts expansion</v>
          </cell>
          <cell r="H32">
            <v>1</v>
          </cell>
          <cell r="I32" t="str">
            <v>M-104,Thermal Cycle Testing (3)Engineering Analysis (2)</v>
          </cell>
          <cell r="J32">
            <v>2</v>
          </cell>
          <cell r="K32">
            <v>20</v>
          </cell>
          <cell r="L32" t="str">
            <v>None</v>
          </cell>
          <cell r="M32" t="str">
            <v>me</v>
          </cell>
          <cell r="S32">
            <v>0</v>
          </cell>
          <cell r="U32">
            <v>6.6699999999999995E-4</v>
          </cell>
          <cell r="V32" t="str">
            <v xml:space="preserve"> - </v>
          </cell>
          <cell r="W32" t="str">
            <v/>
          </cell>
        </row>
        <row r="33">
          <cell r="A33">
            <v>29</v>
          </cell>
          <cell r="B33" t="str">
            <v>2.0 Lid/PlungerProvides locking mechanism</v>
          </cell>
          <cell r="C33" t="str">
            <v>2.6 Does not unlock</v>
          </cell>
          <cell r="D33" t="str">
            <v>2.6.1 System inoperative (8)inoperative (8)2.6.2 Customer breaks finger (10)</v>
          </cell>
          <cell r="E33">
            <v>10</v>
          </cell>
          <cell r="G33" t="str">
            <v>2.6.C Shock/Impact</v>
          </cell>
          <cell r="H33">
            <v>5</v>
          </cell>
          <cell r="I33" t="str">
            <v>M-101,Drop Test (8)M-102,Compression Test (6) M-103,Thermal Cycle w/Drop testing (6)</v>
          </cell>
          <cell r="J33">
            <v>6</v>
          </cell>
          <cell r="K33">
            <v>300</v>
          </cell>
          <cell r="L33" t="str">
            <v>Develop better Drop Test.Strengthen Thread/Plunger Design</v>
          </cell>
          <cell r="M33" t="str">
            <v>Release Eng.. Oct 31, 94Release Eng.. Nov. 15, 93</v>
          </cell>
          <cell r="O33" t="str">
            <v>Test M-101.1,M-101.2Redesigned Thread/Plunger Design</v>
          </cell>
          <cell r="P33">
            <v>10</v>
          </cell>
          <cell r="Q33">
            <v>1</v>
          </cell>
          <cell r="R33">
            <v>2</v>
          </cell>
          <cell r="S33">
            <v>20</v>
          </cell>
          <cell r="U33">
            <v>2.5</v>
          </cell>
          <cell r="V33">
            <v>6.6699999999999995E-4</v>
          </cell>
          <cell r="W33">
            <v>2.499333</v>
          </cell>
        </row>
        <row r="34">
          <cell r="A34">
            <v>30</v>
          </cell>
          <cell r="C34" t="str">
            <v>2.6 Does not unlock</v>
          </cell>
          <cell r="D34" t="str">
            <v>2.6.1 System inoperative (8)inoperative (8)2.6.2 Customer breaks finger (10)</v>
          </cell>
          <cell r="E34">
            <v>10</v>
          </cell>
          <cell r="G34" t="str">
            <v>2.6.D Thermal deformation</v>
          </cell>
          <cell r="H34">
            <v>1</v>
          </cell>
          <cell r="I34" t="str">
            <v>M-104,Thermal Cycle Testing (3)Engineering Analysis (2)</v>
          </cell>
          <cell r="J34">
            <v>2</v>
          </cell>
          <cell r="K34">
            <v>20</v>
          </cell>
          <cell r="L34" t="str">
            <v>None</v>
          </cell>
          <cell r="S34">
            <v>0</v>
          </cell>
          <cell r="U34">
            <v>6.6699999999999995E-4</v>
          </cell>
          <cell r="V34" t="str">
            <v xml:space="preserve"> - </v>
          </cell>
          <cell r="W34" t="str">
            <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MEA"/>
    </sheetNames>
    <sheetDataSet>
      <sheetData sheetId="0">
        <row r="4">
          <cell r="A4" t="str">
            <v>Line</v>
          </cell>
          <cell r="B4" t="str">
            <v>Function</v>
          </cell>
          <cell r="C4" t="str">
            <v>Failure Mode</v>
          </cell>
          <cell r="D4" t="str">
            <v>Effect</v>
          </cell>
          <cell r="E4" t="str">
            <v>SEV</v>
          </cell>
          <cell r="F4" t="str">
            <v>Class</v>
          </cell>
          <cell r="G4" t="str">
            <v>Cause</v>
          </cell>
          <cell r="H4" t="str">
            <v>OCC</v>
          </cell>
          <cell r="I4" t="str">
            <v>Controls</v>
          </cell>
          <cell r="J4" t="str">
            <v>DET</v>
          </cell>
          <cell r="K4" t="str">
            <v>RPN</v>
          </cell>
          <cell r="L4" t="str">
            <v>Action</v>
          </cell>
          <cell r="M4" t="str">
            <v>Resp</v>
          </cell>
          <cell r="N4" t="str">
            <v>CompDate</v>
          </cell>
          <cell r="O4" t="str">
            <v>Actions Taken</v>
          </cell>
          <cell r="P4" t="str">
            <v>New SEV</v>
          </cell>
          <cell r="Q4" t="str">
            <v>New OCC</v>
          </cell>
          <cell r="R4" t="str">
            <v>New DET</v>
          </cell>
          <cell r="S4" t="str">
            <v>New RPN</v>
          </cell>
          <cell r="U4" t="str">
            <v>TEXT1</v>
          </cell>
          <cell r="V4" t="str">
            <v>TEXT2</v>
          </cell>
          <cell r="W4" t="str">
            <v>TEXT3</v>
          </cell>
          <cell r="X4" t="str">
            <v>TEXT4</v>
          </cell>
          <cell r="Y4" t="str">
            <v>TEXT5</v>
          </cell>
          <cell r="Z4" t="str">
            <v>TEXT6</v>
          </cell>
          <cell r="AA4" t="str">
            <v>TEXT7</v>
          </cell>
          <cell r="AB4" t="str">
            <v>TEXT8</v>
          </cell>
          <cell r="AC4" t="str">
            <v>TEXT9</v>
          </cell>
          <cell r="AD4" t="str">
            <v>TEXT10</v>
          </cell>
        </row>
        <row r="5">
          <cell r="A5">
            <v>1</v>
          </cell>
          <cell r="B5" t="str">
            <v>1.0 Container
Holds specific amount of liquid (Soap)</v>
          </cell>
          <cell r="C5" t="str">
            <v>1.1 Leaks</v>
          </cell>
          <cell r="D5" t="str">
            <v>1.1.1 Loss of liquid (8)</v>
          </cell>
          <cell r="E5">
            <v>8</v>
          </cell>
          <cell r="G5" t="str">
            <v>1.1.A Shock/Impact</v>
          </cell>
          <cell r="H5">
            <v>2</v>
          </cell>
          <cell r="I5" t="str">
            <v>M-101,Drop Test (6)
M-102,Compression Test (4) 
M-103,Thermal Cycle w/Drop testing (4)</v>
          </cell>
          <cell r="J5">
            <v>4</v>
          </cell>
          <cell r="K5">
            <v>64</v>
          </cell>
          <cell r="L5" t="str">
            <v>Develop better Drop Test.</v>
          </cell>
          <cell r="M5" t="str">
            <v>R/T Eng..
Oct 31, 93</v>
          </cell>
          <cell r="O5" t="str">
            <v>Test M-101.1</v>
          </cell>
          <cell r="P5">
            <v>8</v>
          </cell>
          <cell r="Q5">
            <v>2</v>
          </cell>
          <cell r="R5">
            <v>1</v>
          </cell>
          <cell r="S5">
            <v>16</v>
          </cell>
          <cell r="U5">
            <v>6.6670000000000002E-3</v>
          </cell>
          <cell r="V5">
            <v>6.6670000000000002E-3</v>
          </cell>
          <cell r="W5">
            <v>0</v>
          </cell>
        </row>
        <row r="6">
          <cell r="A6">
            <v>2</v>
          </cell>
          <cell r="B6" t="str">
            <v>1.0 Container
Holds specific amount of liquid (Soap)</v>
          </cell>
          <cell r="C6" t="str">
            <v>1.1 Leaks</v>
          </cell>
          <cell r="D6" t="str">
            <v>1.1.1 Loss of liquid (8)</v>
          </cell>
          <cell r="E6">
            <v>8</v>
          </cell>
          <cell r="G6" t="str">
            <v>1.1.B Chemical incompatibility</v>
          </cell>
          <cell r="H6">
            <v>1</v>
          </cell>
          <cell r="I6" t="str">
            <v>CT-Chemical Interaction Testing (1)</v>
          </cell>
          <cell r="J6">
            <v>1</v>
          </cell>
          <cell r="K6">
            <v>8</v>
          </cell>
          <cell r="L6" t="str">
            <v>None</v>
          </cell>
          <cell r="M6" t="str">
            <v>Bob Stefanick</v>
          </cell>
          <cell r="S6">
            <v>0</v>
          </cell>
          <cell r="U6">
            <v>6.6699999999999995E-4</v>
          </cell>
          <cell r="V6" t="str">
            <v xml:space="preserve"> - </v>
          </cell>
          <cell r="W6" t="str">
            <v/>
          </cell>
        </row>
        <row r="7">
          <cell r="A7">
            <v>3</v>
          </cell>
          <cell r="B7" t="str">
            <v>1.0 Container
Holds specific amount of liquid (Soap)</v>
          </cell>
          <cell r="C7" t="str">
            <v>1.1 Leaks</v>
          </cell>
          <cell r="D7" t="str">
            <v>1.1.1 Loss of liquid (8)</v>
          </cell>
          <cell r="E7">
            <v>8</v>
          </cell>
          <cell r="G7" t="str">
            <v>1.1.C Thermal degradation</v>
          </cell>
          <cell r="H7">
            <v>7</v>
          </cell>
          <cell r="I7" t="str">
            <v>M-104,Thermal Cycle Testing (3) Engineering Analysis (2)</v>
          </cell>
          <cell r="J7">
            <v>2</v>
          </cell>
          <cell r="K7">
            <v>112</v>
          </cell>
          <cell r="L7" t="str">
            <v>Change Plastic Material</v>
          </cell>
          <cell r="M7" t="str">
            <v>Release Eng..
Oct 31, 93</v>
          </cell>
          <cell r="O7" t="str">
            <v>Plastic PT-333</v>
          </cell>
          <cell r="P7">
            <v>8</v>
          </cell>
          <cell r="Q7">
            <v>1</v>
          </cell>
          <cell r="R7">
            <v>2</v>
          </cell>
          <cell r="S7">
            <v>16</v>
          </cell>
          <cell r="U7">
            <v>50</v>
          </cell>
          <cell r="V7">
            <v>6.6699999999999995E-4</v>
          </cell>
          <cell r="W7">
            <v>49.999333</v>
          </cell>
        </row>
        <row r="8">
          <cell r="A8">
            <v>4</v>
          </cell>
          <cell r="B8" t="str">
            <v>1.0 Container
Provides attachment mechanism to lid.</v>
          </cell>
          <cell r="C8" t="str">
            <v>1.2 Deformed</v>
          </cell>
          <cell r="D8" t="str">
            <v>1.2.1 Reduced liquid content (5)</v>
          </cell>
          <cell r="E8">
            <v>5</v>
          </cell>
          <cell r="G8" t="str">
            <v>1.2.A Thermal deformation</v>
          </cell>
          <cell r="H8">
            <v>7</v>
          </cell>
          <cell r="I8" t="str">
            <v>M-104,Thermal Cycle Testing (3) Engineering Analysis (2)</v>
          </cell>
          <cell r="J8">
            <v>2</v>
          </cell>
          <cell r="K8">
            <v>70</v>
          </cell>
          <cell r="L8" t="str">
            <v>Change Plastic Material</v>
          </cell>
          <cell r="M8" t="str">
            <v>Release Eng..
Oct 31, 93</v>
          </cell>
          <cell r="O8" t="str">
            <v>Plastic PT-333</v>
          </cell>
          <cell r="P8">
            <v>8</v>
          </cell>
          <cell r="Q8">
            <v>1</v>
          </cell>
          <cell r="R8">
            <v>2</v>
          </cell>
          <cell r="S8">
            <v>16</v>
          </cell>
          <cell r="U8">
            <v>50</v>
          </cell>
          <cell r="V8">
            <v>6.6699999999999995E-4</v>
          </cell>
          <cell r="W8">
            <v>49.999333</v>
          </cell>
        </row>
        <row r="9">
          <cell r="A9">
            <v>5</v>
          </cell>
          <cell r="B9" t="str">
            <v>1.0 Container
Provides attachment mechanism to lid.</v>
          </cell>
          <cell r="C9" t="str">
            <v>1.3 Loose</v>
          </cell>
          <cell r="D9" t="str">
            <v>1.3.1 Loss of liquid (8)</v>
          </cell>
          <cell r="E9">
            <v>8</v>
          </cell>
          <cell r="G9" t="str">
            <v>1.3.A Improper Thread Design</v>
          </cell>
          <cell r="H9">
            <v>2</v>
          </cell>
          <cell r="I9" t="str">
            <v>Engineering Analysis (2)</v>
          </cell>
          <cell r="J9">
            <v>2</v>
          </cell>
          <cell r="K9">
            <v>32</v>
          </cell>
          <cell r="L9" t="str">
            <v xml:space="preserve">Design Verification &amp; DOE Study </v>
          </cell>
          <cell r="M9" t="str">
            <v>Release Eng..
Oct 31, 94</v>
          </cell>
          <cell r="O9" t="str">
            <v xml:space="preserve">Design Verification &amp; DOE Study </v>
          </cell>
          <cell r="P9">
            <v>8</v>
          </cell>
          <cell r="Q9">
            <v>1</v>
          </cell>
          <cell r="R9">
            <v>1</v>
          </cell>
          <cell r="S9">
            <v>8</v>
          </cell>
          <cell r="U9">
            <v>6.6670000000000002E-3</v>
          </cell>
          <cell r="V9">
            <v>6.6699999999999995E-4</v>
          </cell>
          <cell r="W9">
            <v>6.0000000000000001E-3</v>
          </cell>
        </row>
        <row r="10">
          <cell r="A10">
            <v>6</v>
          </cell>
          <cell r="B10" t="str">
            <v>1.0 Container
Provides attachment mechanism to lid.</v>
          </cell>
          <cell r="C10" t="str">
            <v>1.4 Does not attach</v>
          </cell>
          <cell r="D10" t="str">
            <v>1.4.1 Loss of label (8) label (8)
1.4.2 Label peels halfway off (6)</v>
          </cell>
          <cell r="E10">
            <v>8</v>
          </cell>
          <cell r="G10" t="str">
            <v>1.4.A Chemical incompatibility</v>
          </cell>
          <cell r="H10">
            <v>2</v>
          </cell>
          <cell r="I10" t="str">
            <v>CT-Chemical Interaction Testing (1)</v>
          </cell>
          <cell r="J10">
            <v>1</v>
          </cell>
          <cell r="K10">
            <v>16</v>
          </cell>
          <cell r="L10" t="str">
            <v>Visit label Supplier</v>
          </cell>
          <cell r="M10" t="str">
            <v>R/T, Release Eng.. Nov. 15, 93</v>
          </cell>
          <cell r="O10" t="str">
            <v>Visit Supplier</v>
          </cell>
          <cell r="P10">
            <v>8</v>
          </cell>
          <cell r="Q10">
            <v>1</v>
          </cell>
          <cell r="R10">
            <v>1</v>
          </cell>
          <cell r="S10">
            <v>8</v>
          </cell>
          <cell r="U10">
            <v>6.6670000000000002E-3</v>
          </cell>
          <cell r="V10">
            <v>6.6699999999999995E-4</v>
          </cell>
          <cell r="W10">
            <v>6.0000000000000001E-3</v>
          </cell>
        </row>
        <row r="11">
          <cell r="A11">
            <v>7</v>
          </cell>
          <cell r="B11" t="str">
            <v>1.0 Container
Stands in upright position.</v>
          </cell>
          <cell r="C11" t="str">
            <v>1.4 Does not attach</v>
          </cell>
          <cell r="D11" t="str">
            <v>1.4.1 Loss of label (8) label (8)
1.4.2 Label peels halfway off (6)</v>
          </cell>
          <cell r="E11">
            <v>8</v>
          </cell>
          <cell r="G11" t="str">
            <v>1.4.B Improper adhesive</v>
          </cell>
          <cell r="H11">
            <v>3</v>
          </cell>
          <cell r="I11" t="str">
            <v>Engineering Analysis (2)
CT-Chemical Interaction Testing (4)</v>
          </cell>
          <cell r="J11">
            <v>2</v>
          </cell>
          <cell r="K11">
            <v>48</v>
          </cell>
          <cell r="L11" t="str">
            <v>Visit label Supplier</v>
          </cell>
          <cell r="M11" t="str">
            <v>R/T, Release Eng.. Nov. 15, 94</v>
          </cell>
          <cell r="O11" t="str">
            <v>Visit Supplier</v>
          </cell>
          <cell r="P11">
            <v>8</v>
          </cell>
          <cell r="Q11">
            <v>1</v>
          </cell>
          <cell r="R11">
            <v>1</v>
          </cell>
          <cell r="S11">
            <v>8</v>
          </cell>
          <cell r="U11">
            <v>6.6667000000000004E-2</v>
          </cell>
          <cell r="V11">
            <v>6.6699999999999995E-4</v>
          </cell>
          <cell r="W11">
            <v>6.6000000000000003E-2</v>
          </cell>
        </row>
        <row r="12">
          <cell r="A12">
            <v>8</v>
          </cell>
          <cell r="B12" t="str">
            <v>1.0 Container
Stands in upright position.</v>
          </cell>
          <cell r="C12" t="str">
            <v>1.5 Falls down</v>
          </cell>
          <cell r="D12" t="str">
            <v>1.5.1 Possible loss of liquid (8)
1.5.2 Break Lid (7) 
1.5.3 Break Plunger (8) 
1.5.4 Scratched label (4) 
1.5.5 Tears off label (5)</v>
          </cell>
          <cell r="E12">
            <v>8</v>
          </cell>
          <cell r="G12" t="str">
            <v>1.5.A Thermal deformation</v>
          </cell>
          <cell r="H12">
            <v>7</v>
          </cell>
          <cell r="I12" t="str">
            <v>M-104,Thermal Cycle Testing (3) 
Engineering Analysis (2)</v>
          </cell>
          <cell r="J12">
            <v>2</v>
          </cell>
          <cell r="K12">
            <v>112</v>
          </cell>
          <cell r="L12" t="str">
            <v>Change Plastic Material</v>
          </cell>
          <cell r="M12" t="str">
            <v>Release Eng.. 
Oct 31, 93</v>
          </cell>
          <cell r="O12" t="str">
            <v>Plastic PT-333</v>
          </cell>
          <cell r="P12">
            <v>8</v>
          </cell>
          <cell r="Q12">
            <v>1</v>
          </cell>
          <cell r="R12">
            <v>2</v>
          </cell>
          <cell r="S12">
            <v>16</v>
          </cell>
          <cell r="U12">
            <v>50</v>
          </cell>
          <cell r="V12">
            <v>6.6699999999999995E-4</v>
          </cell>
          <cell r="W12">
            <v>49.999333</v>
          </cell>
        </row>
        <row r="13">
          <cell r="A13">
            <v>9</v>
          </cell>
          <cell r="B13" t="str">
            <v>2.0 Lid/Plunger
Seals container</v>
          </cell>
          <cell r="C13" t="str">
            <v>1.5 Falls down</v>
          </cell>
          <cell r="D13" t="str">
            <v>1.5.1 Possible loss of liquid (8)
1.5.2 Break Lid (7) 
1.5.3 Break Plunger (8) 
1.5.4 Scratched label (4) 
1.5.5 Tears off label (5)</v>
          </cell>
          <cell r="E13">
            <v>8</v>
          </cell>
          <cell r="G13" t="str">
            <v>1.5.B Shock/Impact</v>
          </cell>
          <cell r="H13">
            <v>2</v>
          </cell>
          <cell r="I13" t="str">
            <v>M-101,Drop Test (6)
M-102,Compression Test (4)
M-103,Thermal Cycle w/Drop testing (4)</v>
          </cell>
          <cell r="J13">
            <v>4</v>
          </cell>
          <cell r="K13">
            <v>64</v>
          </cell>
          <cell r="L13" t="str">
            <v>Develop better Drop Test.</v>
          </cell>
          <cell r="M13" t="str">
            <v>Release Eng.. 
Oct 31, 94</v>
          </cell>
          <cell r="O13" t="str">
            <v>Test M-101.1</v>
          </cell>
          <cell r="P13">
            <v>8</v>
          </cell>
          <cell r="Q13">
            <v>2</v>
          </cell>
          <cell r="R13">
            <v>1</v>
          </cell>
          <cell r="S13">
            <v>16</v>
          </cell>
          <cell r="U13">
            <v>6.6670000000000002E-3</v>
          </cell>
          <cell r="V13">
            <v>6.6670000000000002E-3</v>
          </cell>
          <cell r="W13">
            <v>0</v>
          </cell>
        </row>
        <row r="14">
          <cell r="A14">
            <v>10</v>
          </cell>
          <cell r="B14" t="str">
            <v>2.0 Lid/Plunger
Seals container</v>
          </cell>
          <cell r="C14" t="str">
            <v>2.1 Leaks</v>
          </cell>
          <cell r="D14" t="str">
            <v>2.1.1 Loss of Liquid (8)</v>
          </cell>
          <cell r="E14">
            <v>8</v>
          </cell>
          <cell r="G14" t="str">
            <v>2.1.A Shock/Impact</v>
          </cell>
          <cell r="H14">
            <v>5</v>
          </cell>
          <cell r="I14" t="str">
            <v>M-101,Drop Test (8) 
M-102,Compression Test (6) 
M-103,Thermal Cycle w/Drop testing (6)</v>
          </cell>
          <cell r="J14">
            <v>6</v>
          </cell>
          <cell r="K14">
            <v>240</v>
          </cell>
          <cell r="L14" t="str">
            <v>Develop better Drop Test.
Strengthen Lid/Plunger</v>
          </cell>
          <cell r="M14" t="str">
            <v>Release Eng.. 
Oct 31, 94
Release Eng.. Nov. 15, 93</v>
          </cell>
          <cell r="O14" t="str">
            <v>Test M-101.1,
M-101.2
Redesigned Plunger stem</v>
          </cell>
          <cell r="P14">
            <v>8</v>
          </cell>
          <cell r="Q14">
            <v>2</v>
          </cell>
          <cell r="R14">
            <v>1</v>
          </cell>
          <cell r="S14">
            <v>16</v>
          </cell>
          <cell r="U14">
            <v>2.5</v>
          </cell>
          <cell r="V14">
            <v>6.6670000000000002E-3</v>
          </cell>
          <cell r="W14">
            <v>2.4933329999999998</v>
          </cell>
        </row>
        <row r="15">
          <cell r="A15">
            <v>11</v>
          </cell>
          <cell r="B15" t="str">
            <v>2.0 Lid/Plunger
Seals container</v>
          </cell>
          <cell r="C15">
            <v>2.1</v>
          </cell>
          <cell r="D15" t="str">
            <v>2.1.1 Loss of Liquid (8)</v>
          </cell>
          <cell r="E15">
            <v>8</v>
          </cell>
          <cell r="G15" t="str">
            <v>2.1.B Chemical incompatibility</v>
          </cell>
          <cell r="H15">
            <v>1</v>
          </cell>
          <cell r="I15" t="str">
            <v>CT-Chemical Interaction Testing (1)</v>
          </cell>
          <cell r="J15">
            <v>1</v>
          </cell>
          <cell r="K15">
            <v>8</v>
          </cell>
          <cell r="L15" t="str">
            <v>None</v>
          </cell>
          <cell r="S15">
            <v>0</v>
          </cell>
          <cell r="U15">
            <v>6.6699999999999995E-4</v>
          </cell>
          <cell r="V15" t="str">
            <v xml:space="preserve"> - </v>
          </cell>
          <cell r="W15" t="str">
            <v/>
          </cell>
        </row>
        <row r="16">
          <cell r="A16">
            <v>12</v>
          </cell>
          <cell r="B16" t="str">
            <v>2.0 Lid/Plunger
Seals container</v>
          </cell>
          <cell r="C16" t="str">
            <v>2.1 Leaks</v>
          </cell>
          <cell r="D16" t="str">
            <v>2.1.1 Loss of Liquid (8)</v>
          </cell>
          <cell r="E16">
            <v>8</v>
          </cell>
          <cell r="G16" t="str">
            <v>2.1.C Thermal degradation</v>
          </cell>
          <cell r="H16">
            <v>1</v>
          </cell>
          <cell r="I16" t="str">
            <v>M-104,Thermal Cycle Testing (3)
Engineering Analysis (2)</v>
          </cell>
          <cell r="J16">
            <v>2</v>
          </cell>
          <cell r="K16">
            <v>16</v>
          </cell>
          <cell r="L16" t="str">
            <v>None</v>
          </cell>
          <cell r="S16">
            <v>0</v>
          </cell>
          <cell r="U16">
            <v>6.6699999999999995E-4</v>
          </cell>
          <cell r="V16" t="str">
            <v xml:space="preserve"> - </v>
          </cell>
          <cell r="W16" t="str">
            <v/>
          </cell>
        </row>
        <row r="17">
          <cell r="A17">
            <v>13</v>
          </cell>
          <cell r="B17" t="str">
            <v>2.0 Lid/Plunger
Seals container</v>
          </cell>
          <cell r="C17" t="str">
            <v>2.1 Leaks</v>
          </cell>
          <cell r="D17" t="str">
            <v>2.1.1 Loss of Liquid (8)</v>
          </cell>
          <cell r="E17">
            <v>8</v>
          </cell>
          <cell r="G17" t="str">
            <v>2.1.D Thermal deformation</v>
          </cell>
          <cell r="H17">
            <v>1</v>
          </cell>
          <cell r="I17" t="str">
            <v>M-104,Thermal Cycle Testing (3)
Engineering Analysis (2)</v>
          </cell>
          <cell r="J17">
            <v>2</v>
          </cell>
          <cell r="K17">
            <v>16</v>
          </cell>
          <cell r="L17" t="str">
            <v>None</v>
          </cell>
          <cell r="S17">
            <v>0</v>
          </cell>
          <cell r="U17">
            <v>6.6699999999999995E-4</v>
          </cell>
          <cell r="V17" t="str">
            <v xml:space="preserve"> - </v>
          </cell>
          <cell r="W17" t="str">
            <v/>
          </cell>
        </row>
        <row r="18">
          <cell r="A18">
            <v>14</v>
          </cell>
          <cell r="B18" t="str">
            <v>2.0 Lid/Plunger
Dispenses specific amount of liquid (Soap)</v>
          </cell>
          <cell r="C18" t="str">
            <v>2.1 Leaks</v>
          </cell>
          <cell r="D18" t="str">
            <v>2.1.1 Loss of Liquid (8)</v>
          </cell>
          <cell r="E18">
            <v>8</v>
          </cell>
          <cell r="G18" t="str">
            <v>2.1.E Improper Thread Design</v>
          </cell>
          <cell r="H18">
            <v>2</v>
          </cell>
          <cell r="I18" t="str">
            <v>Engineering Analysis (2)</v>
          </cell>
          <cell r="J18">
            <v>2</v>
          </cell>
          <cell r="K18">
            <v>32</v>
          </cell>
          <cell r="L18" t="str">
            <v xml:space="preserve">Design Verification &amp; DOE Study </v>
          </cell>
          <cell r="M18" t="str">
            <v>Release Eng.. 
Oct 31, 93</v>
          </cell>
          <cell r="O18" t="str">
            <v xml:space="preserve">Design Verification &amp; DOE Study </v>
          </cell>
          <cell r="P18">
            <v>8</v>
          </cell>
          <cell r="Q18">
            <v>1</v>
          </cell>
          <cell r="R18">
            <v>1</v>
          </cell>
          <cell r="S18">
            <v>8</v>
          </cell>
          <cell r="U18">
            <v>6.6670000000000002E-3</v>
          </cell>
          <cell r="V18">
            <v>6.6699999999999995E-4</v>
          </cell>
          <cell r="W18">
            <v>6.0000000000000001E-3</v>
          </cell>
        </row>
        <row r="19">
          <cell r="A19">
            <v>15</v>
          </cell>
          <cell r="B19" t="str">
            <v>2.0 Lid/Plunger
Dispenses specific amount of liquid (Soap)</v>
          </cell>
          <cell r="C19" t="str">
            <v>2.2 No liquid</v>
          </cell>
          <cell r="D19" t="str">
            <v>2.2.1 System inoperative (8)</v>
          </cell>
          <cell r="E19">
            <v>8</v>
          </cell>
          <cell r="G19" t="str">
            <v>2.2.A Dimensional Incompatibility</v>
          </cell>
          <cell r="H19">
            <v>4</v>
          </cell>
          <cell r="I19" t="str">
            <v>Engineering Analysis (2)</v>
          </cell>
          <cell r="J19">
            <v>2</v>
          </cell>
          <cell r="K19">
            <v>64</v>
          </cell>
          <cell r="L19" t="str">
            <v xml:space="preserve">Design Verification &amp; DOE Study </v>
          </cell>
          <cell r="M19" t="str">
            <v>Release Eng.. 
Oct 31, 93</v>
          </cell>
          <cell r="O19" t="str">
            <v xml:space="preserve">Design Verification &amp; DOE Study </v>
          </cell>
          <cell r="P19">
            <v>8</v>
          </cell>
          <cell r="Q19">
            <v>1</v>
          </cell>
          <cell r="R19">
            <v>2</v>
          </cell>
          <cell r="S19">
            <v>16</v>
          </cell>
          <cell r="U19">
            <v>0.5</v>
          </cell>
          <cell r="V19">
            <v>6.6699999999999995E-4</v>
          </cell>
          <cell r="W19">
            <v>0.49933300000000003</v>
          </cell>
        </row>
        <row r="20">
          <cell r="A20">
            <v>16</v>
          </cell>
          <cell r="B20" t="str">
            <v>2.0 Lid/Plunger
Dispenses specific amount of liquid (Soap)</v>
          </cell>
          <cell r="C20" t="str">
            <v>2.2 No liquid</v>
          </cell>
          <cell r="D20" t="str">
            <v>2.2.1 System inoperative (8)</v>
          </cell>
          <cell r="E20">
            <v>8</v>
          </cell>
          <cell r="G20" t="str">
            <v>2.2.B Thermal Parts expansion</v>
          </cell>
          <cell r="H20">
            <v>1</v>
          </cell>
          <cell r="I20" t="str">
            <v>M-104,Thermal Cycle Testing (3)
Engineering Analysis (2)</v>
          </cell>
          <cell r="J20">
            <v>2</v>
          </cell>
          <cell r="K20">
            <v>16</v>
          </cell>
          <cell r="L20" t="str">
            <v>None</v>
          </cell>
          <cell r="S20">
            <v>0</v>
          </cell>
          <cell r="U20">
            <v>6.6699999999999995E-4</v>
          </cell>
          <cell r="V20" t="str">
            <v xml:space="preserve"> - </v>
          </cell>
          <cell r="W20" t="str">
            <v/>
          </cell>
        </row>
        <row r="21">
          <cell r="A21">
            <v>17</v>
          </cell>
          <cell r="B21" t="str">
            <v>2.0 Lid/Plunger
Dispenses specific amount of liquid (Soap)</v>
          </cell>
          <cell r="C21" t="str">
            <v>2.2 No liquid</v>
          </cell>
          <cell r="D21" t="str">
            <v>2.2.1 System inoperative (8)</v>
          </cell>
          <cell r="E21">
            <v>8</v>
          </cell>
          <cell r="G21" t="str">
            <v>2.2.C Blockage (Soap Hardening)</v>
          </cell>
          <cell r="H21">
            <v>4</v>
          </cell>
          <cell r="I21" t="str">
            <v>Engineering Analysis (2)</v>
          </cell>
          <cell r="J21">
            <v>2</v>
          </cell>
          <cell r="K21">
            <v>64</v>
          </cell>
          <cell r="L21" t="str">
            <v>DOE Study 
Visit Soap Manufacturers</v>
          </cell>
          <cell r="M21" t="str">
            <v>Release Eng.. 
Oct 31, 93
Group Visit 
Nov. 1, 93</v>
          </cell>
          <cell r="O21" t="str">
            <v>DOE Study 
Visit Soap Manufacturers</v>
          </cell>
          <cell r="P21">
            <v>8</v>
          </cell>
          <cell r="Q21">
            <v>2</v>
          </cell>
          <cell r="R21">
            <v>2</v>
          </cell>
          <cell r="S21">
            <v>32</v>
          </cell>
          <cell r="U21">
            <v>0.5</v>
          </cell>
          <cell r="V21">
            <v>6.6670000000000002E-3</v>
          </cell>
          <cell r="W21">
            <v>0.49333300000000002</v>
          </cell>
        </row>
        <row r="22">
          <cell r="A22">
            <v>18</v>
          </cell>
          <cell r="B22" t="str">
            <v>2.0 Lid/Plunger
Dispenses specific amount of liquid (Soap)</v>
          </cell>
          <cell r="C22" t="str">
            <v>2.2 No liquid</v>
          </cell>
          <cell r="D22" t="str">
            <v>2.2.1 System inoperative (8)</v>
          </cell>
          <cell r="E22">
            <v>8</v>
          </cell>
          <cell r="G22" t="str">
            <v>2.2.D Thermal deformation</v>
          </cell>
          <cell r="H22">
            <v>1</v>
          </cell>
          <cell r="I22" t="str">
            <v>M-104,Thermal Cycle Testing (3)
Engineering Analysis (2)</v>
          </cell>
          <cell r="J22">
            <v>2</v>
          </cell>
          <cell r="K22">
            <v>16</v>
          </cell>
          <cell r="L22" t="str">
            <v>None</v>
          </cell>
          <cell r="S22">
            <v>0</v>
          </cell>
          <cell r="U22">
            <v>6.6699999999999995E-4</v>
          </cell>
          <cell r="V22" t="str">
            <v xml:space="preserve"> - </v>
          </cell>
          <cell r="W22" t="str">
            <v/>
          </cell>
        </row>
        <row r="23">
          <cell r="A23">
            <v>19</v>
          </cell>
          <cell r="B23" t="str">
            <v>2.0 Lid/Plunger
Dispenses specific amount of liquid (Soap)</v>
          </cell>
          <cell r="C23" t="str">
            <v>2.3 Insufficient</v>
          </cell>
          <cell r="D23" t="str">
            <v>2.3.1 Requires multiple operations (5)</v>
          </cell>
          <cell r="E23">
            <v>5</v>
          </cell>
          <cell r="G23" t="str">
            <v>2.3.A Dimensional Incompatibility</v>
          </cell>
          <cell r="H23">
            <v>2</v>
          </cell>
          <cell r="I23" t="str">
            <v>Engineering Analysis (2)</v>
          </cell>
          <cell r="J23">
            <v>2</v>
          </cell>
          <cell r="K23">
            <v>20</v>
          </cell>
          <cell r="L23" t="str">
            <v xml:space="preserve">Design Verification &amp; DOE Study </v>
          </cell>
          <cell r="M23" t="str">
            <v>Release Eng.. 
Oct 31, 93</v>
          </cell>
          <cell r="O23" t="str">
            <v xml:space="preserve">Design Verification &amp; DOE Study </v>
          </cell>
          <cell r="P23">
            <v>8</v>
          </cell>
          <cell r="Q23">
            <v>1</v>
          </cell>
          <cell r="R23">
            <v>2</v>
          </cell>
          <cell r="S23">
            <v>16</v>
          </cell>
          <cell r="U23">
            <v>6.6670000000000002E-3</v>
          </cell>
          <cell r="V23">
            <v>6.6699999999999995E-4</v>
          </cell>
          <cell r="W23">
            <v>6.0000000000000001E-3</v>
          </cell>
        </row>
        <row r="24">
          <cell r="A24">
            <v>20</v>
          </cell>
          <cell r="B24" t="str">
            <v>2.0 Lid/Plunger
Dispenses specific amount of liquid (Soap)</v>
          </cell>
          <cell r="C24" t="str">
            <v>2.3 Insufficient</v>
          </cell>
          <cell r="D24" t="str">
            <v>2.3.1 Requires multiple operations (5)</v>
          </cell>
          <cell r="E24">
            <v>5</v>
          </cell>
          <cell r="G24" t="str">
            <v>2.3.B Plunger volume too small</v>
          </cell>
          <cell r="H24">
            <v>3</v>
          </cell>
          <cell r="I24" t="str">
            <v>Engineering Analysis (2)</v>
          </cell>
          <cell r="J24">
            <v>2</v>
          </cell>
          <cell r="K24">
            <v>30</v>
          </cell>
          <cell r="L24" t="str">
            <v>Design Verification</v>
          </cell>
          <cell r="M24" t="str">
            <v>Release Eng.. 
Oct 31, 93</v>
          </cell>
          <cell r="O24" t="str">
            <v>Design Verification</v>
          </cell>
          <cell r="P24">
            <v>8</v>
          </cell>
          <cell r="Q24">
            <v>1</v>
          </cell>
          <cell r="R24">
            <v>2</v>
          </cell>
          <cell r="S24">
            <v>16</v>
          </cell>
          <cell r="U24">
            <v>6.6667000000000004E-2</v>
          </cell>
          <cell r="V24">
            <v>6.6699999999999995E-4</v>
          </cell>
          <cell r="W24">
            <v>6.6000000000000003E-2</v>
          </cell>
        </row>
        <row r="25">
          <cell r="A25">
            <v>21</v>
          </cell>
          <cell r="B25" t="str">
            <v>2.0 Lid/Plunger
Dispenses specific amount of liquid (Soap)</v>
          </cell>
          <cell r="C25" t="str">
            <v>2.3 Insufficient</v>
          </cell>
          <cell r="D25" t="str">
            <v>2.3.1 Requires multiple operations (5)</v>
          </cell>
          <cell r="E25">
            <v>5</v>
          </cell>
          <cell r="G25" t="str">
            <v>2.3.C Thermal deformation</v>
          </cell>
          <cell r="H25">
            <v>1</v>
          </cell>
          <cell r="I25" t="str">
            <v>M-104,Thermal Cycle Testing (3)
Engineering Analysis (2)</v>
          </cell>
          <cell r="J25">
            <v>2</v>
          </cell>
          <cell r="K25">
            <v>10</v>
          </cell>
          <cell r="L25" t="str">
            <v>None</v>
          </cell>
          <cell r="S25">
            <v>0</v>
          </cell>
          <cell r="U25">
            <v>6.6699999999999995E-4</v>
          </cell>
          <cell r="V25" t="str">
            <v xml:space="preserve"> - </v>
          </cell>
          <cell r="W25" t="str">
            <v/>
          </cell>
        </row>
        <row r="26">
          <cell r="A26">
            <v>22</v>
          </cell>
          <cell r="B26" t="str">
            <v>2.0 Lid/Plunger
Provides locking mechanism</v>
          </cell>
          <cell r="C26" t="str">
            <v>2.4 Excessive</v>
          </cell>
          <cell r="D26" t="str">
            <v>2.4.1 Liquid waste and mess (6)</v>
          </cell>
          <cell r="E26">
            <v>6</v>
          </cell>
          <cell r="G26" t="str">
            <v>2.4.A Plunger volume too large</v>
          </cell>
          <cell r="H26">
            <v>3</v>
          </cell>
          <cell r="I26" t="str">
            <v>Engineering Analysis (2)</v>
          </cell>
          <cell r="J26">
            <v>2</v>
          </cell>
          <cell r="K26">
            <v>36</v>
          </cell>
          <cell r="L26" t="str">
            <v>Design Verification</v>
          </cell>
          <cell r="M26" t="str">
            <v>Release Eng.. 
Oct 31, 93</v>
          </cell>
          <cell r="O26" t="str">
            <v>Design Verification</v>
          </cell>
          <cell r="P26">
            <v>8</v>
          </cell>
          <cell r="Q26">
            <v>1</v>
          </cell>
          <cell r="R26">
            <v>2</v>
          </cell>
          <cell r="S26">
            <v>16</v>
          </cell>
          <cell r="U26">
            <v>6.6667000000000004E-2</v>
          </cell>
          <cell r="V26">
            <v>6.6699999999999995E-4</v>
          </cell>
          <cell r="W26">
            <v>6.6000000000000003E-2</v>
          </cell>
        </row>
        <row r="27">
          <cell r="A27">
            <v>23</v>
          </cell>
          <cell r="B27" t="str">
            <v>2.0 Lid/Plunger
Provides locking mechanism</v>
          </cell>
          <cell r="C27" t="str">
            <v>2.5 Does not lock</v>
          </cell>
          <cell r="D27" t="str">
            <v>2.5.1 Loss of liquid (8)</v>
          </cell>
          <cell r="E27">
            <v>8</v>
          </cell>
          <cell r="G27" t="str">
            <v>2.5.A Dimensional Incompatibility</v>
          </cell>
          <cell r="H27">
            <v>5</v>
          </cell>
          <cell r="I27" t="str">
            <v>Engineering Analysis (2)</v>
          </cell>
          <cell r="J27">
            <v>2</v>
          </cell>
          <cell r="K27">
            <v>80</v>
          </cell>
          <cell r="L27" t="str">
            <v>Design Verification</v>
          </cell>
          <cell r="M27" t="str">
            <v>Release Eng.. 
Oct 31, 93</v>
          </cell>
          <cell r="O27" t="str">
            <v>Design Verification</v>
          </cell>
          <cell r="P27">
            <v>8</v>
          </cell>
          <cell r="Q27">
            <v>1</v>
          </cell>
          <cell r="R27">
            <v>2</v>
          </cell>
          <cell r="S27">
            <v>16</v>
          </cell>
          <cell r="U27">
            <v>2.5</v>
          </cell>
          <cell r="V27">
            <v>6.6699999999999995E-4</v>
          </cell>
          <cell r="W27">
            <v>2.499333</v>
          </cell>
        </row>
        <row r="28">
          <cell r="A28">
            <v>24</v>
          </cell>
          <cell r="B28" t="str">
            <v>2.0 Lid/Plunger
Provides locking mechanism</v>
          </cell>
          <cell r="C28" t="str">
            <v>2.5 Does not lock</v>
          </cell>
          <cell r="D28" t="str">
            <v>2.5.1 Loss of liquid (8)</v>
          </cell>
          <cell r="E28">
            <v>8</v>
          </cell>
          <cell r="G28" t="str">
            <v>2.5.B Thermal Parts expansion</v>
          </cell>
          <cell r="H28">
            <v>1</v>
          </cell>
          <cell r="I28" t="str">
            <v>M-104,Thermal Cycle Testing (3)
Engineering Analysis (2)</v>
          </cell>
          <cell r="J28">
            <v>2</v>
          </cell>
          <cell r="K28">
            <v>16</v>
          </cell>
          <cell r="L28" t="str">
            <v>None</v>
          </cell>
          <cell r="S28">
            <v>0</v>
          </cell>
          <cell r="U28">
            <v>6.6699999999999995E-4</v>
          </cell>
          <cell r="V28" t="str">
            <v xml:space="preserve"> - </v>
          </cell>
          <cell r="W28" t="str">
            <v/>
          </cell>
        </row>
        <row r="29">
          <cell r="A29">
            <v>25</v>
          </cell>
          <cell r="B29" t="str">
            <v>2.0 Lid/Plunger
Provides locking mechanism</v>
          </cell>
          <cell r="C29" t="str">
            <v>2.5 Does not lock</v>
          </cell>
          <cell r="D29" t="str">
            <v>2.5.1 Loss of liquid (8)</v>
          </cell>
          <cell r="E29">
            <v>8</v>
          </cell>
          <cell r="G29" t="str">
            <v>2.5.C Thermal deformation</v>
          </cell>
          <cell r="H29">
            <v>1</v>
          </cell>
          <cell r="I29" t="str">
            <v>M-104,Thermal Cycle Testing (3)
Engineering Analysis (2)</v>
          </cell>
          <cell r="J29">
            <v>2</v>
          </cell>
          <cell r="K29">
            <v>16</v>
          </cell>
          <cell r="L29" t="str">
            <v>None</v>
          </cell>
          <cell r="S29">
            <v>0</v>
          </cell>
          <cell r="U29">
            <v>6.6699999999999995E-4</v>
          </cell>
          <cell r="V29" t="str">
            <v xml:space="preserve"> - </v>
          </cell>
          <cell r="W29" t="str">
            <v/>
          </cell>
        </row>
        <row r="30">
          <cell r="A30">
            <v>26</v>
          </cell>
          <cell r="B30" t="str">
            <v>2.0 Lid/Plunger
Provides locking mechanism</v>
          </cell>
          <cell r="C30" t="str">
            <v>2.5 Does not lock</v>
          </cell>
          <cell r="D30" t="str">
            <v>2.5.1 Loss of liquid (8)</v>
          </cell>
          <cell r="E30">
            <v>8</v>
          </cell>
          <cell r="G30" t="str">
            <v>2.5.D Shock/Impact</v>
          </cell>
          <cell r="H30">
            <v>5</v>
          </cell>
          <cell r="I30" t="str">
            <v>M-101,Drop Test (8)
M-102,Compression Test (6) 
M-103,Thermal Cycle w/Drop testing (6)</v>
          </cell>
          <cell r="J30">
            <v>6</v>
          </cell>
          <cell r="K30">
            <v>240</v>
          </cell>
          <cell r="L30" t="str">
            <v>Develop better Drop Test.
Strengthen Lid/Plunger</v>
          </cell>
          <cell r="M30" t="str">
            <v>Release Eng.. 
Oct 31, 94
Release Eng.. Nov. 15, 93</v>
          </cell>
          <cell r="O30" t="str">
            <v>Test M-101.1,
M-101.2
Redesigned Plunger stem</v>
          </cell>
          <cell r="P30">
            <v>8</v>
          </cell>
          <cell r="Q30">
            <v>1</v>
          </cell>
          <cell r="R30">
            <v>2</v>
          </cell>
          <cell r="S30">
            <v>16</v>
          </cell>
          <cell r="U30">
            <v>2.5</v>
          </cell>
          <cell r="V30">
            <v>6.6699999999999995E-4</v>
          </cell>
          <cell r="W30">
            <v>2.499333</v>
          </cell>
        </row>
        <row r="31">
          <cell r="A31">
            <v>27</v>
          </cell>
          <cell r="B31" t="str">
            <v>2.0 Lid/Plunger
Provides locking mechanism</v>
          </cell>
          <cell r="C31" t="str">
            <v>2.6 Does not unlock</v>
          </cell>
          <cell r="D31" t="str">
            <v>2.6.1 System inoperative (8)inoperative (8)
2.6.2 Customer breaks finger (10)</v>
          </cell>
          <cell r="E31">
            <v>10</v>
          </cell>
          <cell r="F31" t="str">
            <v>X</v>
          </cell>
          <cell r="G31" t="str">
            <v>2.6.A Dimensional Incompatibility</v>
          </cell>
          <cell r="H31">
            <v>5</v>
          </cell>
          <cell r="I31" t="str">
            <v>Engineering Analysis (2)
- Stack-Up Study</v>
          </cell>
          <cell r="J31">
            <v>2</v>
          </cell>
          <cell r="K31">
            <v>100</v>
          </cell>
          <cell r="L31" t="str">
            <v>Tighten thread specifications (3NCF-12)</v>
          </cell>
          <cell r="M31" t="str">
            <v>Release Eng.. 
 Oct 31, 94</v>
          </cell>
          <cell r="O31" t="str">
            <v>Thread spec. tightened, KPC added to drawing</v>
          </cell>
          <cell r="P31">
            <v>10</v>
          </cell>
          <cell r="Q31">
            <v>1</v>
          </cell>
          <cell r="R31">
            <v>2</v>
          </cell>
          <cell r="S31">
            <v>20</v>
          </cell>
          <cell r="U31">
            <v>2.5</v>
          </cell>
          <cell r="V31">
            <v>6.6699999999999995E-4</v>
          </cell>
          <cell r="W31">
            <v>2.499333</v>
          </cell>
        </row>
        <row r="32">
          <cell r="A32">
            <v>28</v>
          </cell>
          <cell r="B32" t="str">
            <v>2.0 Lid/Plunger
Provides locking mechanism</v>
          </cell>
          <cell r="C32" t="str">
            <v>2.6 Does not unlock</v>
          </cell>
          <cell r="D32" t="str">
            <v>2.6.1 System inoperative (8)inoperative (8)
2.6.2 Customer breaks finger (10)</v>
          </cell>
          <cell r="E32">
            <v>10</v>
          </cell>
          <cell r="G32" t="str">
            <v>2.6.B Thermal Parts expansion</v>
          </cell>
          <cell r="H32">
            <v>1</v>
          </cell>
          <cell r="I32" t="str">
            <v>M-104,Thermal Cycle Testing (3)
Engineering Analysis (2)</v>
          </cell>
          <cell r="J32">
            <v>2</v>
          </cell>
          <cell r="K32">
            <v>20</v>
          </cell>
          <cell r="L32" t="str">
            <v>None</v>
          </cell>
          <cell r="M32" t="str">
            <v>me</v>
          </cell>
          <cell r="S32">
            <v>0</v>
          </cell>
          <cell r="U32">
            <v>6.6699999999999995E-4</v>
          </cell>
          <cell r="V32" t="str">
            <v xml:space="preserve"> - </v>
          </cell>
          <cell r="W32" t="str">
            <v/>
          </cell>
        </row>
        <row r="33">
          <cell r="A33">
            <v>29</v>
          </cell>
          <cell r="B33" t="str">
            <v>2.0 Lid/Plunger
Provides locking mechanism</v>
          </cell>
          <cell r="C33" t="str">
            <v>2.6 Does not unlock</v>
          </cell>
          <cell r="D33" t="str">
            <v>2.6.1 System inoperative (8)inoperative (8)
2.6.2 Customer breaks finger (10)</v>
          </cell>
          <cell r="E33">
            <v>10</v>
          </cell>
          <cell r="G33" t="str">
            <v>2.6.C Shock/Impact</v>
          </cell>
          <cell r="H33">
            <v>5</v>
          </cell>
          <cell r="I33" t="str">
            <v>M-101,Drop Test (8)
M-102,Compression Test (6) 
M-103,Thermal Cycle w/Drop testing (6)</v>
          </cell>
          <cell r="J33">
            <v>6</v>
          </cell>
          <cell r="K33">
            <v>300</v>
          </cell>
          <cell r="L33" t="str">
            <v>Develop better Drop Test.
Strengthen Thread/Plunger Design</v>
          </cell>
          <cell r="M33" t="str">
            <v>Release Eng.. 
Oct 31, 94
Release Eng.. 
Nov. 15, 93</v>
          </cell>
          <cell r="O33" t="str">
            <v>Test M-101.1,
M-101.2
Redesigned Thread/Plunger Design</v>
          </cell>
          <cell r="P33">
            <v>10</v>
          </cell>
          <cell r="Q33">
            <v>1</v>
          </cell>
          <cell r="R33">
            <v>2</v>
          </cell>
          <cell r="S33">
            <v>20</v>
          </cell>
          <cell r="U33">
            <v>2.5</v>
          </cell>
          <cell r="V33">
            <v>6.6699999999999995E-4</v>
          </cell>
          <cell r="W33">
            <v>2.499333</v>
          </cell>
        </row>
        <row r="34">
          <cell r="A34">
            <v>30</v>
          </cell>
          <cell r="C34" t="str">
            <v>2.6 Does not unlock</v>
          </cell>
          <cell r="D34" t="str">
            <v>2.6.1 System inoperative (8)inoperative (8)
2.6.2 Customer breaks finger (10)</v>
          </cell>
          <cell r="E34">
            <v>10</v>
          </cell>
          <cell r="G34" t="str">
            <v>2.6.D Thermal deformation</v>
          </cell>
          <cell r="H34">
            <v>1</v>
          </cell>
          <cell r="I34" t="str">
            <v>M-104,Thermal Cycle Testing (3)
Engineering Analysis (2)</v>
          </cell>
          <cell r="J34">
            <v>2</v>
          </cell>
          <cell r="K34">
            <v>20</v>
          </cell>
          <cell r="L34" t="str">
            <v>None</v>
          </cell>
          <cell r="S34">
            <v>0</v>
          </cell>
          <cell r="U34">
            <v>6.6699999999999995E-4</v>
          </cell>
          <cell r="V34" t="str">
            <v xml:space="preserve"> - </v>
          </cell>
          <cell r="W34" t="str">
            <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lock Diagram"/>
      <sheetName val="Team"/>
      <sheetName val="Notes"/>
      <sheetName val="Block"/>
      <sheetName val="Code File Info"/>
      <sheetName val="I'Face Matrix"/>
      <sheetName val="DFMEA-DRBFM"/>
      <sheetName val="Research"/>
      <sheetName val="Definition of Change Point's"/>
      <sheetName val="Process Quality Guide"/>
      <sheetName val="Inputs"/>
      <sheetName val="Outputs"/>
      <sheetName val="Scales"/>
      <sheetName val="Internet Explorer"/>
      <sheetName val="Addendum"/>
      <sheetName val="TOC"/>
      <sheetName val="CribSheet"/>
      <sheetName val="Algorithm Cribsheet"/>
      <sheetName val="Doc Guidelines"/>
      <sheetName val="JudgmentWords"/>
      <sheetName val="VersionControl"/>
    </sheetNames>
    <sheetDataSet>
      <sheetData sheetId="0" refreshError="1"/>
      <sheetData sheetId="1" refreshError="1"/>
      <sheetData sheetId="2" refreshError="1"/>
      <sheetData sheetId="3" refreshError="1"/>
      <sheetData sheetId="4" refreshError="1"/>
      <sheetData sheetId="5"/>
      <sheetData sheetId="6" refreshError="1">
        <row r="1">
          <cell r="H1" t="str">
            <v>Exhaust Manifold ASM</v>
          </cell>
          <cell r="T1" t="str">
            <v>2008 GMT966.111.13.01</v>
          </cell>
        </row>
        <row r="2">
          <cell r="H2">
            <v>2008</v>
          </cell>
        </row>
        <row r="3">
          <cell r="H3" t="str">
            <v>GMT 966</v>
          </cell>
        </row>
      </sheetData>
      <sheetData sheetId="7" refreshError="1"/>
      <sheetData sheetId="8" refreshError="1"/>
      <sheetData sheetId="9" refreshError="1"/>
      <sheetData sheetId="10"/>
      <sheetData sheetId="11"/>
      <sheetData sheetId="12"/>
      <sheetData sheetId="13" refreshError="1"/>
      <sheetData sheetId="14" refreshError="1"/>
      <sheetData sheetId="15"/>
      <sheetData sheetId="16" refreshError="1"/>
      <sheetData sheetId="17" refreshError="1"/>
      <sheetData sheetId="18" refreshError="1"/>
      <sheetData sheetId="19"/>
      <sheetData sheetId="2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ivic">
      <a:majorFont>
        <a:latin typeface="Georgia"/>
        <a:ea typeface=""/>
        <a:cs typeface=""/>
        <a:font script="Jpan" typeface="ＭＳ Ｐゴシック"/>
        <a:font script="Hang" typeface="돋움"/>
        <a:font script="Hans" typeface="方正舒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ajorFont>
      <a:minorFont>
        <a:latin typeface="Georgia"/>
        <a:ea typeface=""/>
        <a:cs typeface=""/>
        <a:font script="Jpan" typeface="ＭＳ Ｐ明朝"/>
        <a:font script="Hang" typeface="바탕"/>
        <a:font script="Hans" typeface="方正舒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ignOff">
    <tabColor rgb="FFFFC000"/>
  </sheetPr>
  <dimension ref="A1:E15"/>
  <sheetViews>
    <sheetView showGridLines="0" zoomScaleNormal="100" workbookViewId="0">
      <selection sqref="A1:B1"/>
    </sheetView>
  </sheetViews>
  <sheetFormatPr defaultColWidth="8.85546875" defaultRowHeight="12.75" outlineLevelRow="1"/>
  <cols>
    <col min="1" max="1" width="38.28515625" style="2" customWidth="1"/>
    <col min="2" max="2" width="49.140625" style="2" customWidth="1"/>
    <col min="3" max="255" width="8.85546875" style="2"/>
    <col min="256" max="256" width="29.85546875" style="2" customWidth="1"/>
    <col min="257" max="258" width="30.7109375" style="2" customWidth="1"/>
    <col min="259" max="511" width="8.85546875" style="2"/>
    <col min="512" max="512" width="29.85546875" style="2" customWidth="1"/>
    <col min="513" max="514" width="30.7109375" style="2" customWidth="1"/>
    <col min="515" max="767" width="8.85546875" style="2"/>
    <col min="768" max="768" width="29.85546875" style="2" customWidth="1"/>
    <col min="769" max="770" width="30.7109375" style="2" customWidth="1"/>
    <col min="771" max="1023" width="8.85546875" style="2"/>
    <col min="1024" max="1024" width="29.85546875" style="2" customWidth="1"/>
    <col min="1025" max="1026" width="30.7109375" style="2" customWidth="1"/>
    <col min="1027" max="1279" width="8.85546875" style="2"/>
    <col min="1280" max="1280" width="29.85546875" style="2" customWidth="1"/>
    <col min="1281" max="1282" width="30.7109375" style="2" customWidth="1"/>
    <col min="1283" max="1535" width="8.85546875" style="2"/>
    <col min="1536" max="1536" width="29.85546875" style="2" customWidth="1"/>
    <col min="1537" max="1538" width="30.7109375" style="2" customWidth="1"/>
    <col min="1539" max="1791" width="8.85546875" style="2"/>
    <col min="1792" max="1792" width="29.85546875" style="2" customWidth="1"/>
    <col min="1793" max="1794" width="30.7109375" style="2" customWidth="1"/>
    <col min="1795" max="2047" width="8.85546875" style="2"/>
    <col min="2048" max="2048" width="29.85546875" style="2" customWidth="1"/>
    <col min="2049" max="2050" width="30.7109375" style="2" customWidth="1"/>
    <col min="2051" max="2303" width="8.85546875" style="2"/>
    <col min="2304" max="2304" width="29.85546875" style="2" customWidth="1"/>
    <col min="2305" max="2306" width="30.7109375" style="2" customWidth="1"/>
    <col min="2307" max="2559" width="8.85546875" style="2"/>
    <col min="2560" max="2560" width="29.85546875" style="2" customWidth="1"/>
    <col min="2561" max="2562" width="30.7109375" style="2" customWidth="1"/>
    <col min="2563" max="2815" width="8.85546875" style="2"/>
    <col min="2816" max="2816" width="29.85546875" style="2" customWidth="1"/>
    <col min="2817" max="2818" width="30.7109375" style="2" customWidth="1"/>
    <col min="2819" max="3071" width="8.85546875" style="2"/>
    <col min="3072" max="3072" width="29.85546875" style="2" customWidth="1"/>
    <col min="3073" max="3074" width="30.7109375" style="2" customWidth="1"/>
    <col min="3075" max="3327" width="8.85546875" style="2"/>
    <col min="3328" max="3328" width="29.85546875" style="2" customWidth="1"/>
    <col min="3329" max="3330" width="30.7109375" style="2" customWidth="1"/>
    <col min="3331" max="3583" width="8.85546875" style="2"/>
    <col min="3584" max="3584" width="29.85546875" style="2" customWidth="1"/>
    <col min="3585" max="3586" width="30.7109375" style="2" customWidth="1"/>
    <col min="3587" max="3839" width="8.85546875" style="2"/>
    <col min="3840" max="3840" width="29.85546875" style="2" customWidth="1"/>
    <col min="3841" max="3842" width="30.7109375" style="2" customWidth="1"/>
    <col min="3843" max="4095" width="8.85546875" style="2"/>
    <col min="4096" max="4096" width="29.85546875" style="2" customWidth="1"/>
    <col min="4097" max="4098" width="30.7109375" style="2" customWidth="1"/>
    <col min="4099" max="4351" width="8.85546875" style="2"/>
    <col min="4352" max="4352" width="29.85546875" style="2" customWidth="1"/>
    <col min="4353" max="4354" width="30.7109375" style="2" customWidth="1"/>
    <col min="4355" max="4607" width="8.85546875" style="2"/>
    <col min="4608" max="4608" width="29.85546875" style="2" customWidth="1"/>
    <col min="4609" max="4610" width="30.7109375" style="2" customWidth="1"/>
    <col min="4611" max="4863" width="8.85546875" style="2"/>
    <col min="4864" max="4864" width="29.85546875" style="2" customWidth="1"/>
    <col min="4865" max="4866" width="30.7109375" style="2" customWidth="1"/>
    <col min="4867" max="5119" width="8.85546875" style="2"/>
    <col min="5120" max="5120" width="29.85546875" style="2" customWidth="1"/>
    <col min="5121" max="5122" width="30.7109375" style="2" customWidth="1"/>
    <col min="5123" max="5375" width="8.85546875" style="2"/>
    <col min="5376" max="5376" width="29.85546875" style="2" customWidth="1"/>
    <col min="5377" max="5378" width="30.7109375" style="2" customWidth="1"/>
    <col min="5379" max="5631" width="8.85546875" style="2"/>
    <col min="5632" max="5632" width="29.85546875" style="2" customWidth="1"/>
    <col min="5633" max="5634" width="30.7109375" style="2" customWidth="1"/>
    <col min="5635" max="5887" width="8.85546875" style="2"/>
    <col min="5888" max="5888" width="29.85546875" style="2" customWidth="1"/>
    <col min="5889" max="5890" width="30.7109375" style="2" customWidth="1"/>
    <col min="5891" max="6143" width="8.85546875" style="2"/>
    <col min="6144" max="6144" width="29.85546875" style="2" customWidth="1"/>
    <col min="6145" max="6146" width="30.7109375" style="2" customWidth="1"/>
    <col min="6147" max="6399" width="8.85546875" style="2"/>
    <col min="6400" max="6400" width="29.85546875" style="2" customWidth="1"/>
    <col min="6401" max="6402" width="30.7109375" style="2" customWidth="1"/>
    <col min="6403" max="6655" width="8.85546875" style="2"/>
    <col min="6656" max="6656" width="29.85546875" style="2" customWidth="1"/>
    <col min="6657" max="6658" width="30.7109375" style="2" customWidth="1"/>
    <col min="6659" max="6911" width="8.85546875" style="2"/>
    <col min="6912" max="6912" width="29.85546875" style="2" customWidth="1"/>
    <col min="6913" max="6914" width="30.7109375" style="2" customWidth="1"/>
    <col min="6915" max="7167" width="8.85546875" style="2"/>
    <col min="7168" max="7168" width="29.85546875" style="2" customWidth="1"/>
    <col min="7169" max="7170" width="30.7109375" style="2" customWidth="1"/>
    <col min="7171" max="7423" width="8.85546875" style="2"/>
    <col min="7424" max="7424" width="29.85546875" style="2" customWidth="1"/>
    <col min="7425" max="7426" width="30.7109375" style="2" customWidth="1"/>
    <col min="7427" max="7679" width="8.85546875" style="2"/>
    <col min="7680" max="7680" width="29.85546875" style="2" customWidth="1"/>
    <col min="7681" max="7682" width="30.7109375" style="2" customWidth="1"/>
    <col min="7683" max="7935" width="8.85546875" style="2"/>
    <col min="7936" max="7936" width="29.85546875" style="2" customWidth="1"/>
    <col min="7937" max="7938" width="30.7109375" style="2" customWidth="1"/>
    <col min="7939" max="8191" width="8.85546875" style="2"/>
    <col min="8192" max="8192" width="29.85546875" style="2" customWidth="1"/>
    <col min="8193" max="8194" width="30.7109375" style="2" customWidth="1"/>
    <col min="8195" max="8447" width="8.85546875" style="2"/>
    <col min="8448" max="8448" width="29.85546875" style="2" customWidth="1"/>
    <col min="8449" max="8450" width="30.7109375" style="2" customWidth="1"/>
    <col min="8451" max="8703" width="8.85546875" style="2"/>
    <col min="8704" max="8704" width="29.85546875" style="2" customWidth="1"/>
    <col min="8705" max="8706" width="30.7109375" style="2" customWidth="1"/>
    <col min="8707" max="8959" width="8.85546875" style="2"/>
    <col min="8960" max="8960" width="29.85546875" style="2" customWidth="1"/>
    <col min="8961" max="8962" width="30.7109375" style="2" customWidth="1"/>
    <col min="8963" max="9215" width="8.85546875" style="2"/>
    <col min="9216" max="9216" width="29.85546875" style="2" customWidth="1"/>
    <col min="9217" max="9218" width="30.7109375" style="2" customWidth="1"/>
    <col min="9219" max="9471" width="8.85546875" style="2"/>
    <col min="9472" max="9472" width="29.85546875" style="2" customWidth="1"/>
    <col min="9473" max="9474" width="30.7109375" style="2" customWidth="1"/>
    <col min="9475" max="9727" width="8.85546875" style="2"/>
    <col min="9728" max="9728" width="29.85546875" style="2" customWidth="1"/>
    <col min="9729" max="9730" width="30.7109375" style="2" customWidth="1"/>
    <col min="9731" max="9983" width="8.85546875" style="2"/>
    <col min="9984" max="9984" width="29.85546875" style="2" customWidth="1"/>
    <col min="9985" max="9986" width="30.7109375" style="2" customWidth="1"/>
    <col min="9987" max="10239" width="8.85546875" style="2"/>
    <col min="10240" max="10240" width="29.85546875" style="2" customWidth="1"/>
    <col min="10241" max="10242" width="30.7109375" style="2" customWidth="1"/>
    <col min="10243" max="10495" width="8.85546875" style="2"/>
    <col min="10496" max="10496" width="29.85546875" style="2" customWidth="1"/>
    <col min="10497" max="10498" width="30.7109375" style="2" customWidth="1"/>
    <col min="10499" max="10751" width="8.85546875" style="2"/>
    <col min="10752" max="10752" width="29.85546875" style="2" customWidth="1"/>
    <col min="10753" max="10754" width="30.7109375" style="2" customWidth="1"/>
    <col min="10755" max="11007" width="8.85546875" style="2"/>
    <col min="11008" max="11008" width="29.85546875" style="2" customWidth="1"/>
    <col min="11009" max="11010" width="30.7109375" style="2" customWidth="1"/>
    <col min="11011" max="11263" width="8.85546875" style="2"/>
    <col min="11264" max="11264" width="29.85546875" style="2" customWidth="1"/>
    <col min="11265" max="11266" width="30.7109375" style="2" customWidth="1"/>
    <col min="11267" max="11519" width="8.85546875" style="2"/>
    <col min="11520" max="11520" width="29.85546875" style="2" customWidth="1"/>
    <col min="11521" max="11522" width="30.7109375" style="2" customWidth="1"/>
    <col min="11523" max="11775" width="8.85546875" style="2"/>
    <col min="11776" max="11776" width="29.85546875" style="2" customWidth="1"/>
    <col min="11777" max="11778" width="30.7109375" style="2" customWidth="1"/>
    <col min="11779" max="12031" width="8.85546875" style="2"/>
    <col min="12032" max="12032" width="29.85546875" style="2" customWidth="1"/>
    <col min="12033" max="12034" width="30.7109375" style="2" customWidth="1"/>
    <col min="12035" max="12287" width="8.85546875" style="2"/>
    <col min="12288" max="12288" width="29.85546875" style="2" customWidth="1"/>
    <col min="12289" max="12290" width="30.7109375" style="2" customWidth="1"/>
    <col min="12291" max="12543" width="8.85546875" style="2"/>
    <col min="12544" max="12544" width="29.85546875" style="2" customWidth="1"/>
    <col min="12545" max="12546" width="30.7109375" style="2" customWidth="1"/>
    <col min="12547" max="12799" width="8.85546875" style="2"/>
    <col min="12800" max="12800" width="29.85546875" style="2" customWidth="1"/>
    <col min="12801" max="12802" width="30.7109375" style="2" customWidth="1"/>
    <col min="12803" max="13055" width="8.85546875" style="2"/>
    <col min="13056" max="13056" width="29.85546875" style="2" customWidth="1"/>
    <col min="13057" max="13058" width="30.7109375" style="2" customWidth="1"/>
    <col min="13059" max="13311" width="8.85546875" style="2"/>
    <col min="13312" max="13312" width="29.85546875" style="2" customWidth="1"/>
    <col min="13313" max="13314" width="30.7109375" style="2" customWidth="1"/>
    <col min="13315" max="13567" width="8.85546875" style="2"/>
    <col min="13568" max="13568" width="29.85546875" style="2" customWidth="1"/>
    <col min="13569" max="13570" width="30.7109375" style="2" customWidth="1"/>
    <col min="13571" max="13823" width="8.85546875" style="2"/>
    <col min="13824" max="13824" width="29.85546875" style="2" customWidth="1"/>
    <col min="13825" max="13826" width="30.7109375" style="2" customWidth="1"/>
    <col min="13827" max="14079" width="8.85546875" style="2"/>
    <col min="14080" max="14080" width="29.85546875" style="2" customWidth="1"/>
    <col min="14081" max="14082" width="30.7109375" style="2" customWidth="1"/>
    <col min="14083" max="14335" width="8.85546875" style="2"/>
    <col min="14336" max="14336" width="29.85546875" style="2" customWidth="1"/>
    <col min="14337" max="14338" width="30.7109375" style="2" customWidth="1"/>
    <col min="14339" max="14591" width="8.85546875" style="2"/>
    <col min="14592" max="14592" width="29.85546875" style="2" customWidth="1"/>
    <col min="14593" max="14594" width="30.7109375" style="2" customWidth="1"/>
    <col min="14595" max="14847" width="8.85546875" style="2"/>
    <col min="14848" max="14848" width="29.85546875" style="2" customWidth="1"/>
    <col min="14849" max="14850" width="30.7109375" style="2" customWidth="1"/>
    <col min="14851" max="15103" width="8.85546875" style="2"/>
    <col min="15104" max="15104" width="29.85546875" style="2" customWidth="1"/>
    <col min="15105" max="15106" width="30.7109375" style="2" customWidth="1"/>
    <col min="15107" max="15359" width="8.85546875" style="2"/>
    <col min="15360" max="15360" width="29.85546875" style="2" customWidth="1"/>
    <col min="15361" max="15362" width="30.7109375" style="2" customWidth="1"/>
    <col min="15363" max="15615" width="8.85546875" style="2"/>
    <col min="15616" max="15616" width="29.85546875" style="2" customWidth="1"/>
    <col min="15617" max="15618" width="30.7109375" style="2" customWidth="1"/>
    <col min="15619" max="15871" width="8.85546875" style="2"/>
    <col min="15872" max="15872" width="29.85546875" style="2" customWidth="1"/>
    <col min="15873" max="15874" width="30.7109375" style="2" customWidth="1"/>
    <col min="15875" max="16127" width="8.85546875" style="2"/>
    <col min="16128" max="16128" width="29.85546875" style="2" customWidth="1"/>
    <col min="16129" max="16130" width="30.7109375" style="2" customWidth="1"/>
    <col min="16131" max="16384" width="8.85546875" style="2"/>
  </cols>
  <sheetData>
    <row r="1" spans="1:5" s="18" customFormat="1" ht="44.1" customHeight="1" thickBot="1">
      <c r="A1" s="97" t="s">
        <v>14</v>
      </c>
      <c r="B1" s="98"/>
    </row>
    <row r="2" spans="1:5" s="36" customFormat="1" ht="99" customHeight="1" outlineLevel="1">
      <c r="A2" s="95" t="s">
        <v>15</v>
      </c>
      <c r="B2" s="96"/>
    </row>
    <row r="3" spans="1:5" s="36" customFormat="1" ht="14.25" customHeight="1" outlineLevel="1">
      <c r="A3" s="37"/>
      <c r="B3" s="38"/>
    </row>
    <row r="4" spans="1:5" s="36" customFormat="1" ht="14.25" customHeight="1" outlineLevel="1" thickBot="1">
      <c r="A4" s="37"/>
      <c r="B4" s="38"/>
    </row>
    <row r="5" spans="1:5" ht="21.75" customHeight="1" thickBot="1">
      <c r="A5" s="39" t="s">
        <v>12</v>
      </c>
      <c r="B5" s="28" t="e">
        <f>IF(md_fmea_registration_no = "","",md_fmea_registration_no)</f>
        <v>#REF!</v>
      </c>
    </row>
    <row r="6" spans="1:5" ht="21.75" customHeight="1" thickBot="1">
      <c r="A6" s="39" t="s">
        <v>11</v>
      </c>
      <c r="B6" s="29" t="e">
        <f>IF(md_fmea_issue=""," ",md_fmea_issue)</f>
        <v>#REF!</v>
      </c>
    </row>
    <row r="7" spans="1:5" s="19" customFormat="1" ht="21.75" customHeight="1" thickBot="1">
      <c r="A7" s="30"/>
      <c r="B7" s="1"/>
    </row>
    <row r="8" spans="1:5" ht="24" customHeight="1" thickBot="1">
      <c r="A8" s="31" t="s">
        <v>7</v>
      </c>
      <c r="B8" s="32" t="s">
        <v>10</v>
      </c>
    </row>
    <row r="9" spans="1:5" ht="60" customHeight="1">
      <c r="A9" s="20"/>
      <c r="B9" s="21"/>
    </row>
    <row r="10" spans="1:5" ht="19.899999999999999" customHeight="1" thickBot="1">
      <c r="A10" s="33" t="s">
        <v>6</v>
      </c>
      <c r="B10" s="34" t="s">
        <v>3</v>
      </c>
    </row>
    <row r="11" spans="1:5" ht="60" customHeight="1">
      <c r="A11" s="22"/>
      <c r="B11" s="21"/>
      <c r="C11" s="23"/>
    </row>
    <row r="12" spans="1:5" ht="19.899999999999999" customHeight="1" thickBot="1">
      <c r="A12" s="33" t="s">
        <v>5</v>
      </c>
      <c r="B12" s="34" t="s">
        <v>9</v>
      </c>
    </row>
    <row r="13" spans="1:5" ht="60" customHeight="1">
      <c r="A13" s="22"/>
      <c r="B13" s="21"/>
      <c r="E13" s="24"/>
    </row>
    <row r="14" spans="1:5" ht="19.899999999999999" customHeight="1">
      <c r="A14" s="25"/>
      <c r="B14" s="35" t="s">
        <v>8</v>
      </c>
    </row>
    <row r="15" spans="1:5" ht="19.899999999999999" customHeight="1" thickBot="1">
      <c r="A15" s="26"/>
      <c r="B15" s="27" t="s">
        <v>4</v>
      </c>
    </row>
  </sheetData>
  <mergeCells count="2">
    <mergeCell ref="A2:B2"/>
    <mergeCell ref="A1:B1"/>
  </mergeCells>
  <phoneticPr fontId="37" type="noConversion"/>
  <pageMargins left="0.70866141732283461" right="0.70866141732283461" top="1.3385826771653544" bottom="1.3385826771653544" header="0.70866141732283461" footer="0.70866141732283461"/>
  <pageSetup paperSize="9" orientation="portrait" r:id="rId1"/>
  <headerFooter>
    <oddHeader>&amp;LResponsible Engineer:_x000D_
&amp;C_x000D_
 Issue:   &amp;RInfo Class I</oddHeader>
    <oddFooter>&amp;LCP-10-002a Issue 1, Issued by: M Gustafsson 2010-09-02_x000D_
HARDCOPY OF THIS DOCUMENT IS AN UNCONTROLLED COPY&amp;RPage &amp;P(&amp;N)_x000D_
Printed Date: &amp;D</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N52"/>
  <sheetViews>
    <sheetView tabSelected="1" topLeftCell="B8" zoomScaleNormal="100" workbookViewId="0">
      <pane xSplit="6" ySplit="15" topLeftCell="H23" activePane="bottomRight" state="frozen"/>
      <selection activeCell="B8" sqref="B8"/>
      <selection pane="topRight" activeCell="G8" sqref="G8"/>
      <selection pane="bottomLeft" activeCell="B22" sqref="B22"/>
      <selection pane="bottomRight" activeCell="I15" sqref="I15:M15"/>
    </sheetView>
  </sheetViews>
  <sheetFormatPr defaultRowHeight="12.75"/>
  <cols>
    <col min="1" max="2" width="1.140625" customWidth="1"/>
    <col min="3" max="3" width="3.7109375" customWidth="1"/>
    <col min="4" max="4" width="12" customWidth="1"/>
    <col min="5" max="5" width="22.28515625" customWidth="1"/>
    <col min="6" max="6" width="29" customWidth="1"/>
    <col min="7" max="7" width="10.7109375" customWidth="1"/>
    <col min="8" max="8" width="37.28515625" customWidth="1"/>
    <col min="9" max="9" width="15.42578125" customWidth="1"/>
    <col min="10" max="11" width="26.28515625" customWidth="1"/>
    <col min="12" max="12" width="17.140625" customWidth="1"/>
  </cols>
  <sheetData>
    <row r="1" spans="1:14" ht="11.25" customHeight="1">
      <c r="A1" s="60"/>
      <c r="B1" s="60"/>
      <c r="C1" s="61"/>
      <c r="D1" s="61"/>
      <c r="E1" s="61"/>
      <c r="F1" s="61"/>
      <c r="G1" s="61"/>
      <c r="H1" s="61"/>
      <c r="I1" s="62"/>
      <c r="J1" s="62"/>
      <c r="K1" s="62"/>
      <c r="L1" s="62"/>
      <c r="M1" s="60"/>
      <c r="N1" s="60"/>
    </row>
    <row r="2" spans="1:14" ht="15" customHeight="1">
      <c r="A2" s="60"/>
      <c r="B2" s="60"/>
      <c r="C2" s="61"/>
      <c r="D2" s="61"/>
      <c r="E2" s="61"/>
      <c r="F2" s="61"/>
      <c r="G2" s="61"/>
      <c r="H2" s="63"/>
      <c r="I2" s="64" t="s">
        <v>50</v>
      </c>
      <c r="J2" s="61"/>
      <c r="K2" s="61"/>
      <c r="L2" s="61"/>
      <c r="M2" s="60"/>
      <c r="N2" s="60"/>
    </row>
    <row r="3" spans="1:14" ht="11.25" customHeight="1">
      <c r="A3" s="60"/>
      <c r="B3" s="60"/>
      <c r="C3" s="61"/>
      <c r="D3" s="61"/>
      <c r="E3" s="61"/>
      <c r="F3" s="61"/>
      <c r="G3" s="61"/>
      <c r="H3" s="65"/>
      <c r="I3" s="66">
        <v>1</v>
      </c>
      <c r="J3" s="67"/>
      <c r="K3" s="67"/>
      <c r="L3" s="67"/>
      <c r="M3" s="60"/>
      <c r="N3" s="60"/>
    </row>
    <row r="4" spans="1:14" s="47" customFormat="1" ht="15" customHeight="1">
      <c r="A4" s="68"/>
      <c r="B4" s="68"/>
      <c r="C4" s="61"/>
      <c r="D4" s="61"/>
      <c r="E4" s="61"/>
      <c r="F4" s="61"/>
      <c r="G4" s="61"/>
      <c r="H4" s="65"/>
      <c r="I4" s="64" t="s">
        <v>51</v>
      </c>
      <c r="J4" s="61"/>
      <c r="K4" s="61"/>
      <c r="L4" s="61"/>
      <c r="M4" s="68"/>
      <c r="N4" s="68"/>
    </row>
    <row r="5" spans="1:14" s="47" customFormat="1" ht="12" customHeight="1">
      <c r="A5" s="68"/>
      <c r="B5" s="68"/>
      <c r="C5" s="61"/>
      <c r="D5" s="61"/>
      <c r="E5" s="61"/>
      <c r="F5" s="61"/>
      <c r="G5" s="61"/>
      <c r="H5" s="65"/>
      <c r="I5" s="69">
        <v>1</v>
      </c>
      <c r="J5" s="67"/>
      <c r="K5" s="67"/>
      <c r="L5" s="67"/>
      <c r="M5" s="68"/>
      <c r="N5" s="68"/>
    </row>
    <row r="6" spans="1:14" ht="11.25" customHeight="1">
      <c r="A6" s="60"/>
      <c r="B6" s="60"/>
      <c r="C6" s="61"/>
      <c r="D6" s="61"/>
      <c r="E6" s="61"/>
      <c r="F6" s="61"/>
      <c r="G6" s="61"/>
      <c r="H6" s="65"/>
      <c r="I6" s="64" t="s">
        <v>52</v>
      </c>
      <c r="J6" s="61"/>
      <c r="K6" s="61"/>
      <c r="L6" s="61"/>
      <c r="M6" s="60"/>
      <c r="N6" s="60"/>
    </row>
    <row r="7" spans="1:14">
      <c r="A7" s="60"/>
      <c r="B7" s="60"/>
      <c r="C7" s="61"/>
      <c r="D7" s="61"/>
      <c r="E7" s="61"/>
      <c r="F7" s="61"/>
      <c r="G7" s="61"/>
      <c r="H7" s="61"/>
      <c r="I7" s="70" t="s">
        <v>68</v>
      </c>
      <c r="J7" s="67"/>
      <c r="K7" s="67"/>
      <c r="L7" s="67"/>
      <c r="M7" s="60"/>
      <c r="N7" s="60"/>
    </row>
    <row r="8" spans="1:14">
      <c r="A8" s="60"/>
      <c r="B8" s="60"/>
      <c r="C8" s="108" t="s">
        <v>53</v>
      </c>
      <c r="D8" s="108"/>
      <c r="E8" s="71"/>
      <c r="F8" s="71"/>
      <c r="G8" s="71"/>
      <c r="H8" s="60"/>
      <c r="I8" s="72" t="s">
        <v>54</v>
      </c>
      <c r="J8" s="72" t="s">
        <v>130</v>
      </c>
      <c r="K8" s="72"/>
      <c r="L8" s="72"/>
      <c r="M8" s="60"/>
      <c r="N8" s="60"/>
    </row>
    <row r="9" spans="1:14" ht="15.75">
      <c r="A9" s="60"/>
      <c r="B9" s="60"/>
      <c r="C9" s="110" t="s">
        <v>70</v>
      </c>
      <c r="D9" s="110"/>
      <c r="E9" s="110"/>
      <c r="F9" s="110"/>
      <c r="G9" s="67"/>
      <c r="H9" s="67"/>
      <c r="I9" s="73" t="s">
        <v>75</v>
      </c>
      <c r="J9" s="87" t="s">
        <v>74</v>
      </c>
      <c r="K9" s="74"/>
      <c r="L9" s="74"/>
      <c r="M9" s="60"/>
      <c r="N9" s="60"/>
    </row>
    <row r="10" spans="1:14">
      <c r="A10" s="60"/>
      <c r="B10" s="60"/>
      <c r="C10" s="108" t="s">
        <v>55</v>
      </c>
      <c r="D10" s="108"/>
      <c r="E10" s="71"/>
      <c r="F10" s="71"/>
      <c r="G10" s="71"/>
      <c r="H10" s="60"/>
      <c r="I10" s="72" t="s">
        <v>56</v>
      </c>
      <c r="J10" s="72" t="s">
        <v>57</v>
      </c>
      <c r="K10" s="72"/>
      <c r="L10" s="72"/>
      <c r="M10" s="60"/>
      <c r="N10" s="60"/>
    </row>
    <row r="11" spans="1:14">
      <c r="A11" s="60"/>
      <c r="B11" s="60"/>
      <c r="C11" s="109" t="s">
        <v>58</v>
      </c>
      <c r="D11" s="109"/>
      <c r="E11" s="109"/>
      <c r="F11" s="109"/>
      <c r="G11" s="71"/>
      <c r="H11" s="60"/>
      <c r="I11" s="75" t="s">
        <v>73</v>
      </c>
      <c r="J11" s="76">
        <v>42080</v>
      </c>
      <c r="K11" s="76"/>
      <c r="L11" s="76"/>
      <c r="M11" s="60"/>
      <c r="N11" s="60"/>
    </row>
    <row r="12" spans="1:14">
      <c r="A12" s="60"/>
      <c r="B12" s="60"/>
      <c r="C12" s="108" t="s">
        <v>59</v>
      </c>
      <c r="D12" s="108"/>
      <c r="E12" s="71"/>
      <c r="F12" s="71"/>
      <c r="G12" s="71"/>
      <c r="H12" s="60"/>
      <c r="I12" s="72" t="s">
        <v>56</v>
      </c>
      <c r="J12" s="72" t="s">
        <v>57</v>
      </c>
      <c r="K12" s="72"/>
      <c r="L12" s="72"/>
      <c r="M12" s="60"/>
      <c r="N12" s="60"/>
    </row>
    <row r="13" spans="1:14">
      <c r="A13" s="60"/>
      <c r="B13" s="60"/>
      <c r="C13" s="109" t="s">
        <v>60</v>
      </c>
      <c r="D13" s="109"/>
      <c r="E13" s="109"/>
      <c r="F13" s="109"/>
      <c r="G13" s="77"/>
      <c r="H13" s="60"/>
      <c r="I13" s="70" t="s">
        <v>72</v>
      </c>
      <c r="J13" s="76">
        <v>42080</v>
      </c>
      <c r="K13" s="76"/>
      <c r="L13" s="76"/>
      <c r="M13" s="60"/>
      <c r="N13" s="60"/>
    </row>
    <row r="14" spans="1:14">
      <c r="A14" s="60"/>
      <c r="B14" s="60"/>
      <c r="C14" s="78"/>
      <c r="D14" s="78"/>
      <c r="E14" s="77"/>
      <c r="F14" s="77"/>
      <c r="G14" s="77"/>
      <c r="H14" s="60"/>
      <c r="I14" s="60"/>
      <c r="J14" s="60"/>
      <c r="K14" s="60"/>
      <c r="L14" s="60"/>
      <c r="M14" s="60"/>
      <c r="N14" s="60"/>
    </row>
    <row r="15" spans="1:14">
      <c r="A15" s="60"/>
      <c r="B15" s="60"/>
      <c r="C15" s="101" t="s">
        <v>61</v>
      </c>
      <c r="D15" s="101"/>
      <c r="E15" s="101"/>
      <c r="F15" s="112" t="s">
        <v>80</v>
      </c>
      <c r="G15" s="112"/>
      <c r="H15" s="79" t="s">
        <v>141</v>
      </c>
      <c r="I15" s="113">
        <v>42080</v>
      </c>
      <c r="J15" s="112"/>
      <c r="K15" s="112"/>
      <c r="L15" s="112"/>
      <c r="M15" s="112"/>
      <c r="N15" s="60"/>
    </row>
    <row r="16" spans="1:14">
      <c r="A16" s="60"/>
      <c r="B16" s="60"/>
      <c r="C16" s="117"/>
      <c r="D16" s="118"/>
      <c r="E16" s="118"/>
      <c r="F16" s="118"/>
      <c r="G16" s="119"/>
      <c r="H16" s="79" t="s">
        <v>140</v>
      </c>
      <c r="I16" s="114">
        <v>42339</v>
      </c>
      <c r="J16" s="115"/>
      <c r="K16" s="115"/>
      <c r="L16" s="115"/>
      <c r="M16" s="116"/>
      <c r="N16" s="60"/>
    </row>
    <row r="17" spans="1:14">
      <c r="A17" s="60"/>
      <c r="B17" s="60"/>
      <c r="C17" s="101" t="s">
        <v>63</v>
      </c>
      <c r="D17" s="101"/>
      <c r="E17" s="101"/>
      <c r="F17" s="112" t="s">
        <v>79</v>
      </c>
      <c r="G17" s="112"/>
      <c r="H17" s="79" t="s">
        <v>64</v>
      </c>
      <c r="I17" s="112" t="s">
        <v>76</v>
      </c>
      <c r="J17" s="112"/>
      <c r="K17" s="112"/>
      <c r="L17" s="112"/>
      <c r="M17" s="112"/>
      <c r="N17" s="60"/>
    </row>
    <row r="18" spans="1:14">
      <c r="A18" s="60"/>
      <c r="B18" s="60"/>
      <c r="C18" s="101" t="s">
        <v>65</v>
      </c>
      <c r="D18" s="101"/>
      <c r="E18" s="101"/>
      <c r="F18" s="112" t="s">
        <v>78</v>
      </c>
      <c r="G18" s="112"/>
      <c r="H18" s="79" t="s">
        <v>66</v>
      </c>
      <c r="I18" s="112" t="s">
        <v>139</v>
      </c>
      <c r="J18" s="112"/>
      <c r="K18" s="112"/>
      <c r="L18" s="112"/>
      <c r="M18" s="112"/>
      <c r="N18" s="60"/>
    </row>
    <row r="19" spans="1:14">
      <c r="A19" s="60"/>
      <c r="B19" s="60"/>
      <c r="C19" s="100" t="s">
        <v>67</v>
      </c>
      <c r="D19" s="100"/>
      <c r="E19" s="100"/>
      <c r="F19" s="111" t="s">
        <v>77</v>
      </c>
      <c r="G19" s="111"/>
      <c r="H19" s="111"/>
      <c r="I19" s="111"/>
      <c r="J19" s="111"/>
      <c r="K19" s="111"/>
      <c r="L19" s="111"/>
      <c r="M19" s="111"/>
      <c r="N19" s="60"/>
    </row>
    <row r="20" spans="1:14">
      <c r="A20" s="60"/>
      <c r="B20" s="60"/>
      <c r="C20" s="100"/>
      <c r="D20" s="100"/>
      <c r="E20" s="100"/>
      <c r="F20" s="111"/>
      <c r="G20" s="111"/>
      <c r="H20" s="111"/>
      <c r="I20" s="111"/>
      <c r="J20" s="111"/>
      <c r="K20" s="111"/>
      <c r="L20" s="111"/>
      <c r="M20" s="111"/>
      <c r="N20" s="60"/>
    </row>
    <row r="21" spans="1:14">
      <c r="A21" s="60"/>
      <c r="B21" s="60"/>
      <c r="C21" s="60"/>
      <c r="D21" s="60"/>
      <c r="E21" s="60"/>
      <c r="F21" s="60"/>
      <c r="G21" s="60"/>
      <c r="H21" s="60"/>
      <c r="I21" s="60"/>
      <c r="J21" s="60"/>
      <c r="K21" s="60"/>
      <c r="L21" s="60"/>
      <c r="M21" s="60"/>
      <c r="N21" s="60"/>
    </row>
    <row r="22" spans="1:14" s="49" customFormat="1" ht="28.5" customHeight="1">
      <c r="A22" s="80"/>
      <c r="B22" s="80"/>
      <c r="C22" s="50" t="s">
        <v>69</v>
      </c>
      <c r="D22" s="51" t="s">
        <v>33</v>
      </c>
      <c r="E22" s="51" t="s">
        <v>34</v>
      </c>
      <c r="F22" s="51" t="s">
        <v>35</v>
      </c>
      <c r="G22" s="51" t="s">
        <v>36</v>
      </c>
      <c r="H22" s="51" t="s">
        <v>37</v>
      </c>
      <c r="I22" s="51" t="s">
        <v>32</v>
      </c>
      <c r="J22" s="99" t="s">
        <v>43</v>
      </c>
      <c r="K22" s="99"/>
      <c r="L22" s="84" t="s">
        <v>119</v>
      </c>
      <c r="M22" s="51" t="s">
        <v>44</v>
      </c>
      <c r="N22" s="80"/>
    </row>
    <row r="23" spans="1:14" s="48" customFormat="1" ht="96" customHeight="1">
      <c r="A23" s="81"/>
      <c r="B23" s="81"/>
      <c r="C23" s="52">
        <v>1</v>
      </c>
      <c r="D23" s="52" t="s">
        <v>38</v>
      </c>
      <c r="E23" s="52" t="s">
        <v>39</v>
      </c>
      <c r="F23" s="53" t="s">
        <v>40</v>
      </c>
      <c r="G23" s="56" t="s">
        <v>49</v>
      </c>
      <c r="H23" s="53" t="s">
        <v>41</v>
      </c>
      <c r="I23" s="52" t="s">
        <v>42</v>
      </c>
      <c r="J23" s="102" t="s">
        <v>132</v>
      </c>
      <c r="K23" s="102"/>
      <c r="L23" s="58" t="s">
        <v>117</v>
      </c>
      <c r="M23" s="130" t="s">
        <v>83</v>
      </c>
      <c r="N23" s="81"/>
    </row>
    <row r="24" spans="1:14" s="48" customFormat="1" ht="131.25" customHeight="1">
      <c r="A24" s="81"/>
      <c r="B24" s="81"/>
      <c r="C24" s="52">
        <v>2</v>
      </c>
      <c r="D24" s="52" t="s">
        <v>45</v>
      </c>
      <c r="E24" s="52" t="s">
        <v>46</v>
      </c>
      <c r="F24" s="53" t="s">
        <v>48</v>
      </c>
      <c r="G24" s="57" t="s">
        <v>23</v>
      </c>
      <c r="H24" s="53" t="s">
        <v>47</v>
      </c>
      <c r="I24" s="52" t="s">
        <v>42</v>
      </c>
      <c r="J24" s="106" t="s">
        <v>131</v>
      </c>
      <c r="K24" s="106"/>
      <c r="L24" s="58" t="s">
        <v>117</v>
      </c>
      <c r="M24" s="130" t="s">
        <v>83</v>
      </c>
      <c r="N24" s="81"/>
    </row>
    <row r="25" spans="1:14" s="48" customFormat="1" ht="100.5" customHeight="1">
      <c r="A25" s="81"/>
      <c r="B25" s="81"/>
      <c r="C25" s="52">
        <v>3</v>
      </c>
      <c r="D25" s="54" t="s">
        <v>81</v>
      </c>
      <c r="E25" s="54" t="s">
        <v>82</v>
      </c>
      <c r="F25" s="53" t="s">
        <v>48</v>
      </c>
      <c r="G25" s="57" t="s">
        <v>23</v>
      </c>
      <c r="H25" s="53" t="s">
        <v>47</v>
      </c>
      <c r="I25" s="54" t="s">
        <v>42</v>
      </c>
      <c r="J25" s="103" t="s">
        <v>138</v>
      </c>
      <c r="K25" s="103"/>
      <c r="L25" s="58" t="s">
        <v>116</v>
      </c>
      <c r="M25" s="130" t="s">
        <v>83</v>
      </c>
      <c r="N25" s="81"/>
    </row>
    <row r="26" spans="1:14" s="48" customFormat="1" ht="124.5" customHeight="1">
      <c r="A26" s="81"/>
      <c r="B26" s="81"/>
      <c r="C26" s="52">
        <v>4</v>
      </c>
      <c r="D26" s="54" t="s">
        <v>81</v>
      </c>
      <c r="E26" s="54" t="s">
        <v>84</v>
      </c>
      <c r="F26" s="82" t="s">
        <v>85</v>
      </c>
      <c r="G26" s="57" t="s">
        <v>23</v>
      </c>
      <c r="H26" s="82" t="s">
        <v>86</v>
      </c>
      <c r="I26" s="54" t="s">
        <v>42</v>
      </c>
      <c r="J26" s="103" t="s">
        <v>133</v>
      </c>
      <c r="K26" s="103"/>
      <c r="L26" s="85" t="s">
        <v>113</v>
      </c>
      <c r="M26" s="54" t="s">
        <v>111</v>
      </c>
      <c r="N26" s="81"/>
    </row>
    <row r="27" spans="1:14" s="48" customFormat="1" ht="134.25" customHeight="1">
      <c r="A27" s="81"/>
      <c r="B27" s="81"/>
      <c r="C27" s="52">
        <v>5</v>
      </c>
      <c r="D27" s="54" t="s">
        <v>87</v>
      </c>
      <c r="E27" s="82" t="s">
        <v>88</v>
      </c>
      <c r="F27" s="82" t="s">
        <v>89</v>
      </c>
      <c r="G27" s="57" t="s">
        <v>23</v>
      </c>
      <c r="H27" s="82" t="s">
        <v>90</v>
      </c>
      <c r="I27" s="54" t="s">
        <v>42</v>
      </c>
      <c r="J27" s="104" t="s">
        <v>153</v>
      </c>
      <c r="K27" s="105"/>
      <c r="L27" s="86">
        <v>42246</v>
      </c>
      <c r="M27" s="130" t="s">
        <v>83</v>
      </c>
      <c r="N27" s="81"/>
    </row>
    <row r="28" spans="1:14" s="48" customFormat="1" ht="38.25">
      <c r="A28" s="81"/>
      <c r="B28" s="81"/>
      <c r="C28" s="52">
        <v>6</v>
      </c>
      <c r="D28" s="54" t="s">
        <v>91</v>
      </c>
      <c r="E28" s="54" t="s">
        <v>92</v>
      </c>
      <c r="F28" s="82" t="s">
        <v>93</v>
      </c>
      <c r="G28" s="83" t="s">
        <v>94</v>
      </c>
      <c r="H28" s="82" t="s">
        <v>95</v>
      </c>
      <c r="I28" s="54" t="s">
        <v>76</v>
      </c>
      <c r="J28" s="103" t="s">
        <v>96</v>
      </c>
      <c r="K28" s="103"/>
      <c r="L28" s="85" t="s">
        <v>114</v>
      </c>
      <c r="M28" s="54" t="s">
        <v>111</v>
      </c>
      <c r="N28" s="81"/>
    </row>
    <row r="29" spans="1:14" s="48" customFormat="1" ht="55.5" customHeight="1">
      <c r="A29" s="81"/>
      <c r="B29" s="81"/>
      <c r="C29" s="52">
        <v>7</v>
      </c>
      <c r="D29" s="54" t="s">
        <v>97</v>
      </c>
      <c r="E29" s="54" t="s">
        <v>98</v>
      </c>
      <c r="F29" s="54" t="s">
        <v>99</v>
      </c>
      <c r="G29" s="57" t="s">
        <v>23</v>
      </c>
      <c r="H29" s="82" t="s">
        <v>100</v>
      </c>
      <c r="I29" s="54" t="s">
        <v>76</v>
      </c>
      <c r="J29" s="103" t="s">
        <v>101</v>
      </c>
      <c r="K29" s="103"/>
      <c r="L29" s="85" t="s">
        <v>115</v>
      </c>
      <c r="M29" s="54" t="s">
        <v>111</v>
      </c>
      <c r="N29" s="81"/>
    </row>
    <row r="30" spans="1:14" s="48" customFormat="1" ht="25.5">
      <c r="A30" s="81"/>
      <c r="B30" s="81"/>
      <c r="C30" s="52">
        <v>8</v>
      </c>
      <c r="D30" s="54" t="s">
        <v>97</v>
      </c>
      <c r="E30" s="54" t="s">
        <v>102</v>
      </c>
      <c r="F30" s="54" t="s">
        <v>99</v>
      </c>
      <c r="G30" s="83" t="s">
        <v>94</v>
      </c>
      <c r="H30" s="82" t="s">
        <v>103</v>
      </c>
      <c r="I30" s="54" t="s">
        <v>42</v>
      </c>
      <c r="J30" s="103" t="s">
        <v>104</v>
      </c>
      <c r="K30" s="103"/>
      <c r="L30" s="58" t="s">
        <v>112</v>
      </c>
      <c r="M30" s="130" t="s">
        <v>83</v>
      </c>
      <c r="N30" s="81"/>
    </row>
    <row r="31" spans="1:14" s="48" customFormat="1" ht="183.75" customHeight="1">
      <c r="A31" s="81"/>
      <c r="B31" s="81"/>
      <c r="C31" s="52">
        <v>9</v>
      </c>
      <c r="D31" s="54" t="s">
        <v>105</v>
      </c>
      <c r="E31" s="54" t="s">
        <v>106</v>
      </c>
      <c r="F31" s="82" t="s">
        <v>134</v>
      </c>
      <c r="G31" s="56" t="s">
        <v>49</v>
      </c>
      <c r="H31" s="82" t="s">
        <v>135</v>
      </c>
      <c r="I31" s="82" t="s">
        <v>137</v>
      </c>
      <c r="J31" s="103" t="s">
        <v>165</v>
      </c>
      <c r="K31" s="103"/>
      <c r="L31" s="85" t="s">
        <v>136</v>
      </c>
      <c r="M31" s="130" t="s">
        <v>83</v>
      </c>
      <c r="N31" s="81"/>
    </row>
    <row r="32" spans="1:14" s="48" customFormat="1" ht="52.5" customHeight="1">
      <c r="A32" s="81"/>
      <c r="B32" s="81"/>
      <c r="C32" s="52">
        <v>10</v>
      </c>
      <c r="D32" s="54" t="s">
        <v>107</v>
      </c>
      <c r="E32" s="54" t="s">
        <v>108</v>
      </c>
      <c r="F32" s="82" t="s">
        <v>109</v>
      </c>
      <c r="G32" s="83" t="s">
        <v>94</v>
      </c>
      <c r="H32" s="54" t="s">
        <v>118</v>
      </c>
      <c r="I32" s="54" t="s">
        <v>76</v>
      </c>
      <c r="J32" s="103" t="s">
        <v>166</v>
      </c>
      <c r="K32" s="103"/>
      <c r="L32" s="58" t="s">
        <v>110</v>
      </c>
      <c r="M32" s="54" t="s">
        <v>111</v>
      </c>
      <c r="N32" s="81"/>
    </row>
    <row r="33" spans="1:14" s="48" customFormat="1" ht="39" customHeight="1">
      <c r="A33" s="81"/>
      <c r="B33" s="81"/>
      <c r="C33" s="52">
        <v>11</v>
      </c>
      <c r="D33" s="54" t="s">
        <v>124</v>
      </c>
      <c r="E33" s="54" t="s">
        <v>125</v>
      </c>
      <c r="F33" s="53" t="s">
        <v>48</v>
      </c>
      <c r="G33" s="56" t="s">
        <v>49</v>
      </c>
      <c r="H33" s="82" t="s">
        <v>126</v>
      </c>
      <c r="I33" s="82" t="s">
        <v>127</v>
      </c>
      <c r="J33" s="103" t="s">
        <v>128</v>
      </c>
      <c r="K33" s="103"/>
      <c r="L33" s="58" t="s">
        <v>129</v>
      </c>
      <c r="M33" s="54" t="s">
        <v>111</v>
      </c>
      <c r="N33" s="81"/>
    </row>
    <row r="34" spans="1:14" ht="106.5" customHeight="1">
      <c r="A34" s="60"/>
      <c r="B34" s="60"/>
      <c r="C34" s="52">
        <v>12</v>
      </c>
      <c r="D34" s="55" t="s">
        <v>143</v>
      </c>
      <c r="E34" s="82" t="s">
        <v>142</v>
      </c>
      <c r="F34" s="53" t="s">
        <v>144</v>
      </c>
      <c r="G34" s="56" t="s">
        <v>49</v>
      </c>
      <c r="H34" s="55" t="s">
        <v>154</v>
      </c>
      <c r="I34" s="55" t="s">
        <v>76</v>
      </c>
      <c r="J34" s="107" t="s">
        <v>155</v>
      </c>
      <c r="K34" s="107"/>
      <c r="L34" s="93">
        <v>42339</v>
      </c>
      <c r="M34" s="131" t="s">
        <v>83</v>
      </c>
      <c r="N34" s="60"/>
    </row>
    <row r="35" spans="1:14" ht="120.75" customHeight="1">
      <c r="A35" s="60"/>
      <c r="B35" s="60"/>
      <c r="C35" s="52">
        <v>13</v>
      </c>
      <c r="D35" s="55" t="s">
        <v>97</v>
      </c>
      <c r="E35" s="82" t="s">
        <v>145</v>
      </c>
      <c r="F35" s="53" t="s">
        <v>146</v>
      </c>
      <c r="G35" s="57" t="s">
        <v>23</v>
      </c>
      <c r="H35" s="92" t="s">
        <v>156</v>
      </c>
      <c r="I35" s="55" t="s">
        <v>76</v>
      </c>
      <c r="J35" s="107" t="s">
        <v>167</v>
      </c>
      <c r="K35" s="107"/>
      <c r="L35" s="93">
        <v>42489</v>
      </c>
      <c r="M35" s="55" t="s">
        <v>111</v>
      </c>
      <c r="N35" s="60"/>
    </row>
    <row r="36" spans="1:14" ht="121.5" customHeight="1">
      <c r="A36" s="60"/>
      <c r="B36" s="60"/>
      <c r="C36" s="52">
        <v>14</v>
      </c>
      <c r="D36" s="55" t="s">
        <v>149</v>
      </c>
      <c r="E36" s="82" t="s">
        <v>147</v>
      </c>
      <c r="F36" s="53" t="s">
        <v>150</v>
      </c>
      <c r="G36" s="57" t="s">
        <v>23</v>
      </c>
      <c r="H36" s="94" t="s">
        <v>168</v>
      </c>
      <c r="I36" s="92" t="s">
        <v>148</v>
      </c>
      <c r="J36" s="107" t="s">
        <v>169</v>
      </c>
      <c r="K36" s="107"/>
      <c r="L36" s="93">
        <v>42728</v>
      </c>
      <c r="M36" s="55" t="s">
        <v>111</v>
      </c>
      <c r="N36" s="60"/>
    </row>
    <row r="37" spans="1:14" ht="51">
      <c r="A37" s="60"/>
      <c r="B37" s="60"/>
      <c r="C37" s="52">
        <v>15</v>
      </c>
      <c r="D37" s="92" t="s">
        <v>152</v>
      </c>
      <c r="E37" s="53" t="s">
        <v>170</v>
      </c>
      <c r="F37" s="53" t="s">
        <v>151</v>
      </c>
      <c r="G37" s="57" t="s">
        <v>23</v>
      </c>
      <c r="H37" s="91" t="s">
        <v>157</v>
      </c>
      <c r="I37" s="92" t="s">
        <v>148</v>
      </c>
      <c r="J37" s="107" t="s">
        <v>171</v>
      </c>
      <c r="K37" s="107"/>
      <c r="L37" s="59"/>
      <c r="M37" s="131" t="s">
        <v>83</v>
      </c>
      <c r="N37" s="60"/>
    </row>
    <row r="38" spans="1:14" ht="38.25">
      <c r="A38" s="60"/>
      <c r="B38" s="60"/>
      <c r="C38" s="52">
        <v>16</v>
      </c>
      <c r="D38" s="55" t="s">
        <v>107</v>
      </c>
      <c r="E38" s="55" t="s">
        <v>158</v>
      </c>
      <c r="F38" s="91" t="s">
        <v>159</v>
      </c>
      <c r="G38" s="57" t="s">
        <v>23</v>
      </c>
      <c r="H38" s="91" t="s">
        <v>164</v>
      </c>
      <c r="I38" s="55" t="s">
        <v>160</v>
      </c>
      <c r="J38" s="107" t="s">
        <v>172</v>
      </c>
      <c r="K38" s="107"/>
      <c r="L38" s="93">
        <v>42428</v>
      </c>
      <c r="M38" s="55" t="s">
        <v>111</v>
      </c>
      <c r="N38" s="60"/>
    </row>
    <row r="39" spans="1:14" ht="51">
      <c r="A39" s="60"/>
      <c r="B39" s="60"/>
      <c r="C39" s="52">
        <v>17</v>
      </c>
      <c r="D39" s="55" t="s">
        <v>107</v>
      </c>
      <c r="E39" s="55" t="s">
        <v>161</v>
      </c>
      <c r="F39" s="92" t="s">
        <v>162</v>
      </c>
      <c r="G39" s="57" t="s">
        <v>23</v>
      </c>
      <c r="H39" s="91" t="s">
        <v>163</v>
      </c>
      <c r="I39" s="55" t="s">
        <v>139</v>
      </c>
      <c r="J39" s="107" t="s">
        <v>173</v>
      </c>
      <c r="K39" s="107"/>
      <c r="L39" s="93">
        <v>42885</v>
      </c>
      <c r="M39" s="55" t="s">
        <v>111</v>
      </c>
      <c r="N39" s="60"/>
    </row>
    <row r="40" spans="1:14" ht="51">
      <c r="A40" s="60"/>
      <c r="B40" s="60"/>
      <c r="C40" s="52">
        <v>18</v>
      </c>
      <c r="D40" s="94" t="s">
        <v>152</v>
      </c>
      <c r="E40" s="94" t="s">
        <v>174</v>
      </c>
      <c r="F40" s="94" t="s">
        <v>177</v>
      </c>
      <c r="G40" s="132" t="s">
        <v>49</v>
      </c>
      <c r="H40" s="94" t="s">
        <v>176</v>
      </c>
      <c r="I40" s="55" t="s">
        <v>175</v>
      </c>
      <c r="J40" s="107" t="s">
        <v>176</v>
      </c>
      <c r="K40" s="107"/>
      <c r="L40" s="59"/>
      <c r="M40" s="55"/>
      <c r="N40" s="60"/>
    </row>
    <row r="41" spans="1:14">
      <c r="A41" s="60"/>
      <c r="B41" s="60"/>
      <c r="C41" s="52">
        <v>19</v>
      </c>
      <c r="D41" s="55"/>
      <c r="E41" s="55"/>
      <c r="F41" s="55"/>
      <c r="G41" s="55"/>
      <c r="H41" s="55"/>
      <c r="I41" s="55"/>
      <c r="J41" s="107"/>
      <c r="K41" s="107"/>
      <c r="L41" s="59"/>
      <c r="M41" s="55"/>
      <c r="N41" s="60"/>
    </row>
    <row r="42" spans="1:14">
      <c r="A42" s="60"/>
      <c r="B42" s="60"/>
      <c r="C42" s="52">
        <v>20</v>
      </c>
      <c r="D42" s="55"/>
      <c r="E42" s="55"/>
      <c r="F42" s="55"/>
      <c r="G42" s="55"/>
      <c r="H42" s="55"/>
      <c r="I42" s="55"/>
      <c r="J42" s="107"/>
      <c r="K42" s="107"/>
      <c r="L42" s="59"/>
      <c r="M42" s="55"/>
      <c r="N42" s="60"/>
    </row>
    <row r="43" spans="1:14">
      <c r="A43" s="60"/>
      <c r="B43" s="60"/>
      <c r="C43" s="55"/>
      <c r="D43" s="55"/>
      <c r="E43" s="55"/>
      <c r="F43" s="55"/>
      <c r="G43" s="55"/>
      <c r="H43" s="55"/>
      <c r="I43" s="55"/>
      <c r="J43" s="107"/>
      <c r="K43" s="107"/>
      <c r="L43" s="59"/>
      <c r="M43" s="55"/>
      <c r="N43" s="60"/>
    </row>
    <row r="44" spans="1:14">
      <c r="A44" s="60"/>
      <c r="B44" s="60"/>
      <c r="C44" s="60"/>
      <c r="D44" s="89"/>
      <c r="E44" s="89"/>
      <c r="F44" s="89"/>
      <c r="G44" s="89"/>
      <c r="H44" s="89"/>
      <c r="I44" s="89"/>
      <c r="J44" s="89"/>
      <c r="K44" s="89"/>
      <c r="L44" s="89"/>
      <c r="M44" s="89"/>
      <c r="N44" s="89"/>
    </row>
    <row r="45" spans="1:14">
      <c r="A45" s="60"/>
      <c r="B45" s="60"/>
      <c r="C45" s="60" t="s">
        <v>120</v>
      </c>
      <c r="D45" s="89"/>
      <c r="E45" s="89"/>
      <c r="F45" s="89"/>
      <c r="G45" s="89"/>
      <c r="H45" s="89"/>
      <c r="I45" s="89"/>
      <c r="J45" s="89"/>
      <c r="K45" s="89"/>
      <c r="L45" s="89"/>
      <c r="M45" s="89"/>
      <c r="N45" s="89"/>
    </row>
    <row r="46" spans="1:14">
      <c r="A46" s="60"/>
      <c r="B46" s="60"/>
      <c r="C46" s="60" t="s">
        <v>121</v>
      </c>
      <c r="D46" s="89"/>
      <c r="E46" s="89"/>
      <c r="F46" s="89"/>
      <c r="G46" s="89"/>
      <c r="H46" s="89"/>
      <c r="I46" s="89"/>
      <c r="J46" s="89"/>
      <c r="K46" s="89"/>
      <c r="L46" s="89"/>
      <c r="M46" s="89"/>
      <c r="N46" s="89"/>
    </row>
    <row r="47" spans="1:14">
      <c r="A47" s="60"/>
      <c r="B47" s="60"/>
      <c r="C47" s="60"/>
      <c r="D47" s="89"/>
      <c r="E47" s="89"/>
      <c r="F47" s="89"/>
      <c r="G47" s="89"/>
      <c r="H47" s="89"/>
      <c r="I47" s="89"/>
      <c r="J47" s="89"/>
      <c r="K47" s="89"/>
      <c r="L47" s="89"/>
      <c r="M47" s="89"/>
      <c r="N47" s="89"/>
    </row>
    <row r="48" spans="1:14">
      <c r="A48" s="60"/>
      <c r="B48" s="60"/>
      <c r="C48" t="s">
        <v>122</v>
      </c>
      <c r="D48" s="89"/>
      <c r="E48" s="89"/>
      <c r="F48" s="89"/>
      <c r="G48" s="89"/>
      <c r="H48" s="89"/>
      <c r="I48" s="89"/>
      <c r="J48" s="89"/>
      <c r="K48" s="89"/>
      <c r="L48" s="89"/>
      <c r="M48" s="89"/>
      <c r="N48" s="89"/>
    </row>
    <row r="49" spans="1:14">
      <c r="A49" s="60"/>
      <c r="B49" s="60"/>
      <c r="D49" s="89"/>
      <c r="E49" s="89"/>
      <c r="F49" s="89"/>
      <c r="G49" s="89"/>
      <c r="H49" s="89"/>
      <c r="I49" s="89"/>
      <c r="J49" s="89"/>
      <c r="K49" s="89"/>
      <c r="L49" s="89"/>
      <c r="M49" s="89"/>
      <c r="N49" s="89"/>
    </row>
    <row r="50" spans="1:14">
      <c r="A50" s="60"/>
      <c r="B50" s="60"/>
      <c r="C50" s="60"/>
      <c r="D50" s="89"/>
      <c r="E50" s="90"/>
      <c r="F50" s="90"/>
      <c r="G50" s="89"/>
      <c r="H50" s="90"/>
      <c r="I50" s="90"/>
      <c r="J50" s="89"/>
      <c r="K50" s="89"/>
      <c r="L50" s="89"/>
      <c r="M50" s="89"/>
      <c r="N50" s="89"/>
    </row>
    <row r="51" spans="1:14">
      <c r="A51" s="60"/>
      <c r="B51" s="60"/>
      <c r="C51" s="60"/>
      <c r="D51" s="89"/>
      <c r="E51" s="89" t="s">
        <v>123</v>
      </c>
      <c r="F51" s="88" t="s">
        <v>62</v>
      </c>
      <c r="H51" s="89" t="s">
        <v>65</v>
      </c>
      <c r="I51" s="89" t="s">
        <v>62</v>
      </c>
      <c r="J51" s="89"/>
      <c r="K51" s="89"/>
      <c r="L51" s="89"/>
      <c r="M51" s="89"/>
      <c r="N51" s="89"/>
    </row>
    <row r="52" spans="1:14">
      <c r="A52" s="60"/>
      <c r="B52" s="60"/>
      <c r="C52" s="60"/>
      <c r="D52" s="89"/>
      <c r="E52" s="89"/>
      <c r="F52" s="89"/>
      <c r="G52" s="89"/>
      <c r="H52" s="89"/>
      <c r="I52" s="89"/>
      <c r="J52" s="89"/>
      <c r="K52" s="89"/>
      <c r="L52" s="89"/>
      <c r="M52" s="89"/>
      <c r="N52" s="89"/>
    </row>
  </sheetData>
  <autoFilter ref="A22:N22">
    <filterColumn colId="9" showButton="0"/>
  </autoFilter>
  <mergeCells count="41">
    <mergeCell ref="I15:M15"/>
    <mergeCell ref="I16:M16"/>
    <mergeCell ref="C16:G16"/>
    <mergeCell ref="I18:M18"/>
    <mergeCell ref="I17:M17"/>
    <mergeCell ref="C17:E17"/>
    <mergeCell ref="C15:E15"/>
    <mergeCell ref="F18:G18"/>
    <mergeCell ref="F17:G17"/>
    <mergeCell ref="F15:G15"/>
    <mergeCell ref="C8:D8"/>
    <mergeCell ref="C10:D10"/>
    <mergeCell ref="C12:D12"/>
    <mergeCell ref="C13:F13"/>
    <mergeCell ref="C11:F11"/>
    <mergeCell ref="C9:F9"/>
    <mergeCell ref="J32:K32"/>
    <mergeCell ref="J43:K43"/>
    <mergeCell ref="J42:K42"/>
    <mergeCell ref="J41:K41"/>
    <mergeCell ref="J40:K40"/>
    <mergeCell ref="J39:K39"/>
    <mergeCell ref="J38:K38"/>
    <mergeCell ref="J37:K37"/>
    <mergeCell ref="J36:K36"/>
    <mergeCell ref="J35:K35"/>
    <mergeCell ref="J34:K34"/>
    <mergeCell ref="J33:K33"/>
    <mergeCell ref="J22:K22"/>
    <mergeCell ref="C19:E20"/>
    <mergeCell ref="C18:E18"/>
    <mergeCell ref="J23:K23"/>
    <mergeCell ref="J31:K31"/>
    <mergeCell ref="J30:K30"/>
    <mergeCell ref="J29:K29"/>
    <mergeCell ref="J28:K28"/>
    <mergeCell ref="J27:K27"/>
    <mergeCell ref="J26:K26"/>
    <mergeCell ref="J25:K25"/>
    <mergeCell ref="J24:K24"/>
    <mergeCell ref="F19:M20"/>
  </mergeCells>
  <phoneticPr fontId="37" type="noConversion"/>
  <pageMargins left="0.7" right="0.7" top="0.75" bottom="0.75" header="0.3" footer="0.3"/>
  <pageSetup paperSize="9" scale="49" orientation="landscape"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iskGraphs">
    <tabColor theme="2" tint="-0.249977111117893"/>
    <pageSetUpPr fitToPage="1"/>
  </sheetPr>
  <dimension ref="A1:L20"/>
  <sheetViews>
    <sheetView showGridLines="0" zoomScaleNormal="100" workbookViewId="0">
      <selection activeCell="D8" sqref="D8"/>
    </sheetView>
  </sheetViews>
  <sheetFormatPr defaultColWidth="3.7109375" defaultRowHeight="19.5" customHeight="1" outlineLevelRow="1"/>
  <cols>
    <col min="1" max="2" width="3.7109375" style="2"/>
    <col min="3" max="3" width="10.5703125" style="2" customWidth="1"/>
    <col min="4" max="8" width="11.28515625" style="2" customWidth="1"/>
    <col min="9" max="16384" width="3.7109375" style="2"/>
  </cols>
  <sheetData>
    <row r="1" spans="1:12" ht="72" customHeight="1" thickBot="1">
      <c r="A1" s="121" t="s">
        <v>71</v>
      </c>
      <c r="B1" s="122"/>
      <c r="C1" s="122"/>
      <c r="D1" s="122"/>
      <c r="E1" s="122"/>
      <c r="F1" s="122"/>
      <c r="G1" s="122"/>
      <c r="H1" s="122"/>
      <c r="I1" s="122"/>
      <c r="J1" s="122"/>
      <c r="K1" s="122"/>
      <c r="L1" s="123"/>
    </row>
    <row r="2" spans="1:12" s="16" customFormat="1" ht="26.25" hidden="1" customHeight="1" outlineLevel="1">
      <c r="A2" s="127" t="s">
        <v>13</v>
      </c>
      <c r="B2" s="128"/>
      <c r="C2" s="128"/>
      <c r="D2" s="128"/>
      <c r="E2" s="128"/>
      <c r="F2" s="128"/>
      <c r="G2" s="128"/>
      <c r="H2" s="128"/>
      <c r="I2" s="128"/>
      <c r="J2" s="128"/>
      <c r="K2" s="128"/>
      <c r="L2" s="129"/>
    </row>
    <row r="3" spans="1:12" s="16" customFormat="1" ht="13.5" hidden="1" customHeight="1" outlineLevel="1">
      <c r="A3" s="14"/>
      <c r="B3" s="15"/>
      <c r="C3" s="15"/>
      <c r="D3" s="15"/>
      <c r="E3" s="15"/>
      <c r="F3" s="15"/>
      <c r="G3" s="15"/>
      <c r="H3" s="15"/>
      <c r="I3" s="15"/>
      <c r="J3" s="15"/>
      <c r="K3" s="15"/>
      <c r="L3" s="17"/>
    </row>
    <row r="4" spans="1:12" s="16" customFormat="1" ht="15" hidden="1" outlineLevel="1">
      <c r="A4" s="14"/>
      <c r="B4" s="15"/>
      <c r="C4" s="15"/>
      <c r="D4" s="15"/>
      <c r="E4" s="15"/>
      <c r="F4" s="15"/>
      <c r="G4" s="15"/>
      <c r="H4" s="15"/>
      <c r="I4" s="15"/>
      <c r="J4" s="15"/>
      <c r="K4" s="15"/>
      <c r="L4" s="17"/>
    </row>
    <row r="5" spans="1:12" ht="19.5" customHeight="1" collapsed="1">
      <c r="A5" s="3"/>
      <c r="B5" s="4"/>
      <c r="C5" s="4"/>
      <c r="D5" s="124" t="s">
        <v>19</v>
      </c>
      <c r="E5" s="124"/>
      <c r="F5" s="124"/>
      <c r="G5" s="124"/>
      <c r="H5" s="124"/>
      <c r="I5" s="4"/>
      <c r="J5" s="4"/>
      <c r="K5" s="4"/>
      <c r="L5" s="45"/>
    </row>
    <row r="6" spans="1:12" ht="19.5" customHeight="1">
      <c r="A6" s="3"/>
      <c r="B6" s="4"/>
      <c r="C6" s="4"/>
      <c r="D6" s="4"/>
      <c r="E6" s="4"/>
      <c r="F6" s="4"/>
      <c r="G6" s="4"/>
      <c r="H6" s="4"/>
      <c r="I6" s="4"/>
      <c r="J6" s="4"/>
      <c r="K6" s="4"/>
      <c r="L6" s="5"/>
    </row>
    <row r="7" spans="1:12" ht="54.75" customHeight="1">
      <c r="A7" s="3"/>
      <c r="B7" s="125"/>
      <c r="C7" s="41" t="s">
        <v>21</v>
      </c>
      <c r="D7" s="7" t="s">
        <v>0</v>
      </c>
      <c r="E7" s="46" t="s">
        <v>2</v>
      </c>
      <c r="F7" s="46" t="s">
        <v>1</v>
      </c>
      <c r="G7" s="46" t="s">
        <v>1</v>
      </c>
      <c r="H7" s="46" t="s">
        <v>1</v>
      </c>
      <c r="I7" s="4"/>
      <c r="J7" s="4"/>
      <c r="K7" s="4"/>
      <c r="L7" s="126"/>
    </row>
    <row r="8" spans="1:12" ht="54.75" customHeight="1">
      <c r="A8" s="3"/>
      <c r="B8" s="125"/>
      <c r="C8" s="6" t="s">
        <v>22</v>
      </c>
      <c r="D8" s="7" t="s">
        <v>0</v>
      </c>
      <c r="E8" s="46" t="s">
        <v>2</v>
      </c>
      <c r="F8" s="46" t="s">
        <v>2</v>
      </c>
      <c r="G8" s="46" t="s">
        <v>1</v>
      </c>
      <c r="H8" s="46" t="s">
        <v>1</v>
      </c>
      <c r="I8" s="4"/>
      <c r="J8" s="4"/>
      <c r="K8" s="4"/>
      <c r="L8" s="126"/>
    </row>
    <row r="9" spans="1:12" ht="54.75" customHeight="1">
      <c r="A9" s="3"/>
      <c r="B9" s="125"/>
      <c r="C9" s="6" t="s">
        <v>23</v>
      </c>
      <c r="D9" s="7" t="s">
        <v>0</v>
      </c>
      <c r="E9" s="46" t="s">
        <v>2</v>
      </c>
      <c r="F9" s="46" t="s">
        <v>2</v>
      </c>
      <c r="G9" s="46" t="s">
        <v>2</v>
      </c>
      <c r="H9" s="46" t="s">
        <v>1</v>
      </c>
      <c r="I9" s="4"/>
      <c r="J9" s="4"/>
      <c r="K9" s="4"/>
      <c r="L9" s="126"/>
    </row>
    <row r="10" spans="1:12" ht="54.75" customHeight="1">
      <c r="A10" s="3"/>
      <c r="B10" s="125"/>
      <c r="C10" s="6" t="s">
        <v>24</v>
      </c>
      <c r="D10" s="7" t="s">
        <v>0</v>
      </c>
      <c r="E10" s="46" t="s">
        <v>0</v>
      </c>
      <c r="F10" s="46" t="s">
        <v>2</v>
      </c>
      <c r="G10" s="46" t="s">
        <v>2</v>
      </c>
      <c r="H10" s="46" t="s">
        <v>2</v>
      </c>
      <c r="I10" s="4"/>
      <c r="J10" s="4"/>
      <c r="K10" s="4"/>
      <c r="L10" s="126"/>
    </row>
    <row r="11" spans="1:12" ht="54.75" customHeight="1" thickBot="1">
      <c r="A11" s="3"/>
      <c r="B11" s="125"/>
      <c r="C11" s="6" t="s">
        <v>25</v>
      </c>
      <c r="D11" s="8" t="s">
        <v>0</v>
      </c>
      <c r="E11" s="9" t="s">
        <v>0</v>
      </c>
      <c r="F11" s="9" t="s">
        <v>0</v>
      </c>
      <c r="G11" s="9" t="s">
        <v>2</v>
      </c>
      <c r="H11" s="9" t="s">
        <v>2</v>
      </c>
      <c r="I11" s="4"/>
      <c r="J11" s="4"/>
      <c r="K11" s="4"/>
      <c r="L11" s="126"/>
    </row>
    <row r="12" spans="1:12" ht="30.75" customHeight="1" thickTop="1">
      <c r="A12" s="3"/>
      <c r="B12" s="4"/>
      <c r="C12" s="4"/>
      <c r="D12" s="6" t="s">
        <v>26</v>
      </c>
      <c r="E12" s="6" t="s">
        <v>27</v>
      </c>
      <c r="F12" s="6" t="s">
        <v>23</v>
      </c>
      <c r="G12" s="6" t="s">
        <v>29</v>
      </c>
      <c r="H12" s="6" t="s">
        <v>28</v>
      </c>
      <c r="I12" s="4"/>
      <c r="J12" s="4"/>
      <c r="K12" s="4"/>
      <c r="L12" s="5"/>
    </row>
    <row r="13" spans="1:12" ht="19.5" customHeight="1">
      <c r="A13" s="3"/>
      <c r="B13" s="4"/>
      <c r="C13" s="4"/>
      <c r="D13" s="120" t="s">
        <v>20</v>
      </c>
      <c r="E13" s="120"/>
      <c r="F13" s="120"/>
      <c r="G13" s="120"/>
      <c r="H13" s="120"/>
      <c r="I13" s="4"/>
      <c r="J13" s="4"/>
      <c r="K13" s="4"/>
      <c r="L13" s="5"/>
    </row>
    <row r="14" spans="1:12" ht="19.5" customHeight="1">
      <c r="A14" s="3"/>
      <c r="B14" s="4"/>
      <c r="C14" s="4"/>
      <c r="D14" s="4"/>
      <c r="E14" s="4"/>
      <c r="F14" s="4"/>
      <c r="G14" s="4"/>
      <c r="H14" s="4"/>
      <c r="I14" s="4"/>
      <c r="J14" s="4"/>
      <c r="K14" s="4"/>
      <c r="L14" s="5"/>
    </row>
    <row r="15" spans="1:12" ht="19.5" customHeight="1">
      <c r="A15" s="3"/>
      <c r="B15" s="4"/>
      <c r="C15" s="10"/>
      <c r="D15" s="42" t="s">
        <v>31</v>
      </c>
      <c r="E15" s="40" t="s">
        <v>16</v>
      </c>
      <c r="F15" s="4"/>
      <c r="G15" s="4"/>
      <c r="H15" s="4"/>
      <c r="I15" s="4"/>
      <c r="J15" s="4"/>
      <c r="K15" s="4"/>
      <c r="L15" s="5"/>
    </row>
    <row r="16" spans="1:12" ht="19.5" customHeight="1">
      <c r="A16" s="3"/>
      <c r="B16" s="4"/>
      <c r="C16" s="10"/>
      <c r="D16" s="4"/>
      <c r="E16" s="40"/>
      <c r="F16" s="4"/>
      <c r="G16" s="4"/>
      <c r="H16" s="4"/>
      <c r="I16" s="4"/>
      <c r="J16" s="4"/>
      <c r="K16" s="4"/>
      <c r="L16" s="5"/>
    </row>
    <row r="17" spans="1:12" ht="19.5" customHeight="1">
      <c r="A17" s="3"/>
      <c r="B17" s="4"/>
      <c r="C17" s="10"/>
      <c r="D17" s="43" t="s">
        <v>23</v>
      </c>
      <c r="E17" s="40" t="s">
        <v>17</v>
      </c>
      <c r="F17" s="4"/>
      <c r="G17" s="4"/>
      <c r="H17" s="4"/>
      <c r="I17" s="4"/>
      <c r="J17" s="4"/>
      <c r="K17" s="4"/>
      <c r="L17" s="5"/>
    </row>
    <row r="18" spans="1:12" ht="19.5" customHeight="1">
      <c r="A18" s="3"/>
      <c r="B18" s="4"/>
      <c r="C18" s="10"/>
      <c r="D18" s="4"/>
      <c r="E18" s="40"/>
      <c r="F18" s="4"/>
      <c r="G18" s="4"/>
      <c r="H18" s="4"/>
      <c r="I18" s="4"/>
      <c r="J18" s="4"/>
      <c r="K18" s="4"/>
      <c r="L18" s="5"/>
    </row>
    <row r="19" spans="1:12" ht="19.5" customHeight="1">
      <c r="A19" s="3"/>
      <c r="B19" s="4"/>
      <c r="C19" s="10"/>
      <c r="D19" s="44" t="s">
        <v>30</v>
      </c>
      <c r="E19" s="40" t="s">
        <v>18</v>
      </c>
      <c r="F19" s="4"/>
      <c r="G19" s="4"/>
      <c r="H19" s="4"/>
      <c r="I19" s="4"/>
      <c r="J19" s="4"/>
      <c r="K19" s="4"/>
      <c r="L19" s="5"/>
    </row>
    <row r="20" spans="1:12" ht="19.5" customHeight="1" thickBot="1">
      <c r="A20" s="13"/>
      <c r="B20" s="11"/>
      <c r="C20" s="11"/>
      <c r="D20" s="11"/>
      <c r="E20" s="11"/>
      <c r="F20" s="11"/>
      <c r="G20" s="11"/>
      <c r="H20" s="11"/>
      <c r="I20" s="11"/>
      <c r="J20" s="11"/>
      <c r="K20" s="11"/>
      <c r="L20" s="12"/>
    </row>
  </sheetData>
  <mergeCells count="6">
    <mergeCell ref="D13:H13"/>
    <mergeCell ref="A1:L1"/>
    <mergeCell ref="D5:H5"/>
    <mergeCell ref="B7:B11"/>
    <mergeCell ref="L7:L11"/>
    <mergeCell ref="A2:L2"/>
  </mergeCells>
  <phoneticPr fontId="37" type="noConversion"/>
  <conditionalFormatting sqref="D7:H11">
    <cfRule type="cellIs" dxfId="2" priority="1" stopIfTrue="1" operator="equal">
      <formula>"G"</formula>
    </cfRule>
    <cfRule type="cellIs" dxfId="1" priority="2" stopIfTrue="1" operator="equal">
      <formula>"Y"</formula>
    </cfRule>
    <cfRule type="cellIs" dxfId="0" priority="3" stopIfTrue="1" operator="equal">
      <formula>"R"</formula>
    </cfRule>
  </conditionalFormatting>
  <dataValidations count="1">
    <dataValidation type="list" allowBlank="1" showInputMessage="1" showErrorMessage="1" sqref="D7:H11">
      <formula1>"R, Y, G"</formula1>
    </dataValidation>
  </dataValidations>
  <pageMargins left="0.70866141732283472" right="0.70866141732283472" top="1.3385826771653544" bottom="1.3385826771653544" header="0.70866141732283472" footer="0.70866141732283472"/>
  <pageSetup paperSize="9" scale="89" orientation="landscape" r:id="rId1"/>
  <headerFooter>
    <oddHeader>&amp;LResponsible Engineer:_x000D_
&amp;C_x000D_
 Issue:   &amp;RInfo Class I</oddHeader>
    <oddFooter>&amp;LCP-10-002a Issue 1, Issued by: M Gustafsson 2010-09-02_x000D_
HARDCOPY OF THIS DOCUMENT IS AN UNCONTROLLED COPY&amp;RPage &amp;P(&amp;N)_x000D_
Printed Date: &amp;D</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Risk Assessment</vt:lpstr>
      <vt:lpstr>Risk Priority Matrix</vt:lpstr>
      <vt:lpstr>riskgraphs_sev_vs_occ_start_corner</vt:lpstr>
    </vt:vector>
  </TitlesOfParts>
  <Company>General Motors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FMEA KCDS Workbook</dc:title>
  <dc:subject>FMEA KCDS template</dc:subject>
  <dc:creator>M Gustafsson</dc:creator>
  <cp:keywords>FMEA KCDS Risk Management</cp:keywords>
  <cp:lastModifiedBy>Dennis Kristensson</cp:lastModifiedBy>
  <cp:lastPrinted>2015-03-18T09:31:04Z</cp:lastPrinted>
  <dcterms:created xsi:type="dcterms:W3CDTF">2005-05-24T13:35:31Z</dcterms:created>
  <dcterms:modified xsi:type="dcterms:W3CDTF">2015-12-02T16:54:39Z</dcterms:modified>
</cp:coreProperties>
</file>